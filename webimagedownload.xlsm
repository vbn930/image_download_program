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OneDrive\바탕 화면\꼬리치레\"/>
    </mc:Choice>
  </mc:AlternateContent>
  <xr:revisionPtr revIDLastSave="0" documentId="13_ncr:1_{EEB0ECC9-9A35-4C18-A07F-16E28688AEC5}" xr6:coauthVersionLast="47" xr6:coauthVersionMax="47" xr10:uidLastSave="{00000000-0000-0000-0000-000000000000}"/>
  <bookViews>
    <workbookView xWindow="7290" yWindow="75" windowWidth="21435" windowHeight="1549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14" i="1" l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<sst xmlns="http://schemas.openxmlformats.org/spreadsheetml/2006/main" count="2615" uniqueCount="2615">
  <si>
    <t>url주소</t>
  </si>
  <si>
    <t>파일명</t>
  </si>
  <si>
    <t>ebc-DRC171_1.jpg</t>
  </si>
  <si>
    <t>ebc-DRC205_1.jpg</t>
  </si>
  <si>
    <t>ebc-342G_1.jpg</t>
  </si>
  <si>
    <t>ebc-344G_1.jpg</t>
  </si>
  <si>
    <t>ebc-533_1.jpg</t>
  </si>
  <si>
    <t>ebc-536G_1.jpg</t>
  </si>
  <si>
    <t>ebc-612_1.jpg</t>
  </si>
  <si>
    <t>ebc-615G_1.jpg</t>
  </si>
  <si>
    <t>ebc-616G_1.jpg</t>
  </si>
  <si>
    <t>ebc-625G_1.jpg</t>
  </si>
  <si>
    <t>ebc-702G_1.jpg</t>
  </si>
  <si>
    <t>ebc-815_1.jpg</t>
  </si>
  <si>
    <t>ebc-817_1.jpg</t>
  </si>
  <si>
    <t>ebc-821G_1.jpg</t>
  </si>
  <si>
    <t>ebc-843G_1.jpg</t>
  </si>
  <si>
    <t>ebc-859_1.jpg</t>
  </si>
  <si>
    <t>ebc-862_1.jpg</t>
  </si>
  <si>
    <t>ebc-864_1.jpg</t>
  </si>
  <si>
    <t>ebc-938_1.jpg</t>
  </si>
  <si>
    <t>ebc-940G_1.jpg</t>
  </si>
  <si>
    <t>ebc-977G_1.jpg</t>
  </si>
  <si>
    <t>ebc-982G_1.jpg</t>
  </si>
  <si>
    <t>ebc-SRK82_1.jpg</t>
  </si>
  <si>
    <t>ebc-MD8001_1.jpg</t>
  </si>
  <si>
    <t>ebc-MD6278D_1.jpg</t>
  </si>
  <si>
    <t>ebc-FA271X_1.jpg</t>
  </si>
  <si>
    <t>ebc-FA196HH_1.jpg</t>
  </si>
  <si>
    <t>ebc-FA281HH_1.jpg</t>
  </si>
  <si>
    <t>ebc-SRC54_1.jpg</t>
  </si>
  <si>
    <t>ebc-DRC61_1.jpg</t>
  </si>
  <si>
    <t>ebc-CSK4_1.jpg</t>
  </si>
  <si>
    <t>ebc-CSK10_1.jpg</t>
  </si>
  <si>
    <t>ebc-EPFA346HH_1.jpg</t>
  </si>
  <si>
    <t>ebc-MD3060_1.jpg</t>
  </si>
  <si>
    <t>ebc-331G_1.jpg</t>
  </si>
  <si>
    <t>ebc-DRC28_1.jpg</t>
  </si>
  <si>
    <t>ebc-CK3455_1.jpg</t>
  </si>
  <si>
    <t>ebc-FA663_1.jpg</t>
  </si>
  <si>
    <t>ebc-DRC184_1.jpg</t>
  </si>
  <si>
    <t>ebc-611_1.jpg</t>
  </si>
  <si>
    <t>ebc-FA135R_1.jpg</t>
  </si>
  <si>
    <t>ebc-512_1.jpg</t>
  </si>
  <si>
    <t>ebc-SFA306_1.jpg</t>
  </si>
  <si>
    <t>ebc-614G_1.jpg</t>
  </si>
  <si>
    <t>ebc-SRK96_1.jpg</t>
  </si>
  <si>
    <t>ebc-MD1159_1.jpg</t>
  </si>
  <si>
    <t>ebc-FA452SV_1.jpg</t>
  </si>
  <si>
    <t>ebc-SFA83/2HH_1.jpg</t>
  </si>
  <si>
    <t>ebc-FSD025CBLK_1.jpg</t>
  </si>
  <si>
    <t>ebc-SFA425_1.jpg</t>
  </si>
  <si>
    <t>ebc-DRC276_1.jpg</t>
  </si>
  <si>
    <t>ebc-FA90_1.jpg</t>
  </si>
  <si>
    <t>ebc-CT051_1.jpg</t>
  </si>
  <si>
    <t>ebc-FA428X_1.jpg</t>
  </si>
  <si>
    <t>ebc-CK1147_1.jpg</t>
  </si>
  <si>
    <t>ebc-604G_1.jpg</t>
  </si>
  <si>
    <t>ebc-MD1184_1.jpg</t>
  </si>
  <si>
    <t>ebc-CK3315_1.jpg</t>
  </si>
  <si>
    <t>ebc-FA670_1.jpg</t>
  </si>
  <si>
    <t>ebc-FA474_1.jpg</t>
  </si>
  <si>
    <t>ebc-SFA706_1.jpg</t>
  </si>
  <si>
    <t>ebc-MD2092C_1.jpg</t>
  </si>
  <si>
    <t>ebc-CSK188_1.jpg</t>
  </si>
  <si>
    <t>ebc-FA266V_1.jpg</t>
  </si>
  <si>
    <t>ebc-FA130X_1.jpg</t>
  </si>
  <si>
    <t>ebc-FA363_1.jpg</t>
  </si>
  <si>
    <t>ebc-CK2324_1.jpg</t>
  </si>
  <si>
    <t>ebc-FA171HH_1.jpg</t>
  </si>
  <si>
    <t>ebc-DRC32_1.jpg</t>
  </si>
  <si>
    <t>ebc-FA34V_1.jpg</t>
  </si>
  <si>
    <t>ebc-CKF1319_1.jpg</t>
  </si>
  <si>
    <t>ebc-FA379HH_1.jpg</t>
  </si>
  <si>
    <t>ebc-SFA181HH_1.jpg</t>
  </si>
  <si>
    <t>ebc-SRK85_1.jpg</t>
  </si>
  <si>
    <t>ebc-FA92X_1.jpg</t>
  </si>
  <si>
    <t>ebc-FA200_1.jpg</t>
  </si>
  <si>
    <t>ebc-MD2091_1.jpg</t>
  </si>
  <si>
    <t>ebc-MD2084C_1.jpg</t>
  </si>
  <si>
    <t>ebc-14-0000X_1.jpg</t>
  </si>
  <si>
    <t>ebc-MD6021D_1.jpg</t>
  </si>
  <si>
    <t>ebc-FA129HH_1.jpg</t>
  </si>
  <si>
    <t>ebc-MD1127_1.jpg</t>
  </si>
  <si>
    <t>ebc-CK1193_1.jpg</t>
  </si>
  <si>
    <t>ebc-FA209/2_1.jpg</t>
  </si>
  <si>
    <t>ebc-MD6045D_1.jpg</t>
  </si>
  <si>
    <t>ebc-DRC162_1.jpg</t>
  </si>
  <si>
    <t>ebc-620_1.jpg</t>
  </si>
  <si>
    <t>ebc-FA40_1.jpg</t>
  </si>
  <si>
    <t>ebc-FA363HH_1.jpg</t>
  </si>
  <si>
    <t>ebc-FA610R_1.jpg</t>
  </si>
  <si>
    <t>ebc-CK1153_1.jpg</t>
  </si>
  <si>
    <t>ebc-FA453X_1.jpg</t>
  </si>
  <si>
    <t>ebc-CSK26_1.jpg</t>
  </si>
  <si>
    <t>ebc-FSD009BLK_1.jpg</t>
  </si>
  <si>
    <t>ebc-MD3028RS_1.jpg</t>
  </si>
  <si>
    <t>ebc-346_1.jpg</t>
  </si>
  <si>
    <t>ebc-FA244_1.jpg</t>
  </si>
  <si>
    <t>ebc-CK5651_1.jpg</t>
  </si>
  <si>
    <t>ebc-706G_1.jpg</t>
  </si>
  <si>
    <t>ebc-OS6015C_1.jpg</t>
  </si>
  <si>
    <t>ebc-OS6213C_1.jpg</t>
  </si>
  <si>
    <t>ebc-OS6314C_1.jpg</t>
  </si>
  <si>
    <t>ebc-OS6028E_1.jpg</t>
  </si>
  <si>
    <t>ebc-FA658_1.jpg</t>
  </si>
  <si>
    <t>ebc-CKF1247_1.jpg</t>
  </si>
  <si>
    <t>ebc-DRC287_1.jpg</t>
  </si>
  <si>
    <t>ebc-CSK25_1.jpg</t>
  </si>
  <si>
    <t>ebc-324_1.jpg</t>
  </si>
  <si>
    <t>ebc-DRC301_1.jpg</t>
  </si>
  <si>
    <t>ebc-CSK171_1.jpg</t>
  </si>
  <si>
    <t>ebc-FA275HH_1.jpg</t>
  </si>
  <si>
    <t>ebc-MD842XC_1.jpg</t>
  </si>
  <si>
    <t>ebc-FA213HH_1.jpg</t>
  </si>
  <si>
    <t>ebc-FA401X_1.jpg</t>
  </si>
  <si>
    <t>ebc-FA142V_1.jpg</t>
  </si>
  <si>
    <t>ebc-FA214/2_1.jpg</t>
  </si>
  <si>
    <t>ebc-DRC163_1.jpg</t>
  </si>
  <si>
    <t>ebc-CSK124_1.jpg</t>
  </si>
  <si>
    <t>ebc-DRC240_1.jpg</t>
  </si>
  <si>
    <t>ebc-CK2387_1.jpg</t>
  </si>
  <si>
    <t>ebc-308_1.jpg</t>
  </si>
  <si>
    <t>ebc-DRC85_1.jpg</t>
  </si>
  <si>
    <t>ebc-FA414X_1.jpg</t>
  </si>
  <si>
    <t>ebc-RSD014CBLK_1.jpg</t>
  </si>
  <si>
    <t>ebc-FA175_1.jpg</t>
  </si>
  <si>
    <t>ebc-502_1.jpg</t>
  </si>
  <si>
    <t>ebc-MD6255D_1.jpg</t>
  </si>
  <si>
    <t>ebc-FA335HH_1.jpg</t>
  </si>
  <si>
    <t>ebc-SFA408HH_1.jpg</t>
  </si>
  <si>
    <t>ebc-DRC15_1.jpg</t>
  </si>
  <si>
    <t>ebc-FA372R_1.jpg</t>
  </si>
  <si>
    <t>ebc-DRC58_1.jpg</t>
  </si>
  <si>
    <t>ebc-MD6339D_1.jpg</t>
  </si>
  <si>
    <t>ebc-CSK248_1.jpg</t>
  </si>
  <si>
    <t>ebc-FA645R_1.jpg</t>
  </si>
  <si>
    <t>ebc-CSK1_1.jpg</t>
  </si>
  <si>
    <t>ebc-DRC111_1.jpg</t>
  </si>
  <si>
    <t>ebc-FA232R_1.jpg</t>
  </si>
  <si>
    <t>ebc-FA35_1.jpg</t>
  </si>
  <si>
    <t>ebc-CSK221_1.jpg</t>
  </si>
  <si>
    <t>ebc-SRK80_1.jpg</t>
  </si>
  <si>
    <t>ebc-FA101X_1.jpg</t>
  </si>
  <si>
    <t>ebc-SRK79_1.jpg</t>
  </si>
  <si>
    <t>ebc-SFA196_1.jpg</t>
  </si>
  <si>
    <t>ebc-GPFAX379HH_1.jpg</t>
  </si>
  <si>
    <t>ebc-CK5635_1.jpg</t>
  </si>
  <si>
    <t>ebc-720_1.jpg</t>
  </si>
  <si>
    <t>ebc-CK1295_1.jpg</t>
  </si>
  <si>
    <t>ebc-FA38_1.jpg</t>
  </si>
  <si>
    <t>ebc-FA216/3_1.jpg</t>
  </si>
  <si>
    <t>ebc-MD6256D_1.jpg</t>
  </si>
  <si>
    <t>ebc-MD2088_1.jpg</t>
  </si>
  <si>
    <t>ebc-CK3366_1.jpg</t>
  </si>
  <si>
    <t>ebc-FA231/2V_1.jpg</t>
  </si>
  <si>
    <t>ebc-FA136_1.jpg</t>
  </si>
  <si>
    <t>ebc-SFA321_1.jpg</t>
  </si>
  <si>
    <t>ebc-MD1137XC_1.jpg</t>
  </si>
  <si>
    <t>ebc-MD2116C_1.jpg</t>
  </si>
  <si>
    <t>ebc-MD4166C_1.jpg</t>
  </si>
  <si>
    <t>ebc-MD1164C_1.jpg</t>
  </si>
  <si>
    <t>ebc-MD6329C_1.jpg</t>
  </si>
  <si>
    <t>ebc-MD6351C_1.jpg</t>
  </si>
  <si>
    <t>ebc-MD1171XC_1.jpg</t>
  </si>
  <si>
    <t>ebc-MD1173C_1.jpg</t>
  </si>
  <si>
    <t>ebc-MD2102XC_1.jpg</t>
  </si>
  <si>
    <t>ebc-MD2114C_1.jpg</t>
  </si>
  <si>
    <t>ebc-MD4164AC_1.jpg</t>
  </si>
  <si>
    <t>ebc-MD851C_1.jpg</t>
  </si>
  <si>
    <t>ebc-MD865XC_1.jpg</t>
  </si>
  <si>
    <t>ebc-MD868XC_1.jpg</t>
  </si>
  <si>
    <t>ebc-MD843XC_1.jpg</t>
  </si>
  <si>
    <t>ebc-MD1183C_1.jpg</t>
  </si>
  <si>
    <t>ebc-MD878C_1.jpg</t>
  </si>
  <si>
    <t>ebc-MD6304C_1.jpg</t>
  </si>
  <si>
    <t>ebc-MD627C_1.jpg</t>
  </si>
  <si>
    <t>ebc-MD817XC_1.jpg</t>
  </si>
  <si>
    <t>ebc-MD841XC_1.jpg</t>
  </si>
  <si>
    <t>ebc-MD852XC_1.jpg</t>
  </si>
  <si>
    <t>ebc-MD2120C_1.jpg</t>
  </si>
  <si>
    <t>ebc-MD2124XC_1.jpg</t>
  </si>
  <si>
    <t>ebc-MD2123C_1.jpg</t>
  </si>
  <si>
    <t>ebc-MD3102XC_1.jpg</t>
  </si>
  <si>
    <t>ebc-MD3103XC_1.jpg</t>
  </si>
  <si>
    <t>ebc-MD2119XC_1.jpg</t>
  </si>
  <si>
    <t>ebc-MD864XC_1.jpg</t>
  </si>
  <si>
    <t>ebc-FA400_1.jpg</t>
  </si>
  <si>
    <t>ebc-343G_1.jpg</t>
  </si>
  <si>
    <t>ebc-CSK119_1.jpg</t>
  </si>
  <si>
    <t>ebc-FA604/4HH_1.jpg</t>
  </si>
  <si>
    <t>ebc-CSK27_1.jpg</t>
  </si>
  <si>
    <t>ebc-SXR165HH_1.jpg</t>
  </si>
  <si>
    <t>ebc-SRK50_1.jpg</t>
  </si>
  <si>
    <t>ebc-MD2068_1.jpg</t>
  </si>
  <si>
    <t>ebc-FA215_1.jpg</t>
  </si>
  <si>
    <t>ebc-FA92R_1.jpg</t>
  </si>
  <si>
    <t>ebc-FA105R_1.jpg</t>
  </si>
  <si>
    <t>ebc-CSK58_1.jpg</t>
  </si>
  <si>
    <t>ebc-FA187_1.jpg</t>
  </si>
  <si>
    <t>ebc-FA714X_1.jpg</t>
  </si>
  <si>
    <t>ebc-818_1.jpg</t>
  </si>
  <si>
    <t>ebc-CK4413_1.jpg</t>
  </si>
  <si>
    <t>ebc-FA322/4HH_1.jpg</t>
  </si>
  <si>
    <t>ebc-DRC93_1.jpg</t>
  </si>
  <si>
    <t>ebc-FA41_1.jpg</t>
  </si>
  <si>
    <t>ebc-RSD019_1.jpg</t>
  </si>
  <si>
    <t>ebc-507_1.jpg</t>
  </si>
  <si>
    <t>ebc-MD6208CX_1.jpg</t>
  </si>
  <si>
    <t>ebc-CK5594_1.jpg</t>
  </si>
  <si>
    <t>ebc-CSK68_1.jpg</t>
  </si>
  <si>
    <t>ebc-MD6188D_1.jpg</t>
  </si>
  <si>
    <t>ebc-SRK66_1.jpg</t>
  </si>
  <si>
    <t>ebc-FA51_1.jpg</t>
  </si>
  <si>
    <t>ebc-EPFA367HH_1.jpg</t>
  </si>
  <si>
    <t>ebc-FA123V_1.jpg</t>
  </si>
  <si>
    <t>ebc-FA671_1.jpg</t>
  </si>
  <si>
    <t>ebc-SFA323HH_1.jpg</t>
  </si>
  <si>
    <t>ebc-FA629R_1.jpg</t>
  </si>
  <si>
    <t>ebc-MD3058XC_1.jpg</t>
  </si>
  <si>
    <t>ebc-634_1.jpg</t>
  </si>
  <si>
    <t>ebc-FA37_1.jpg</t>
  </si>
  <si>
    <t>ebc-SRC115_1.jpg</t>
  </si>
  <si>
    <t>ebc-DRC54_1.jpg</t>
  </si>
  <si>
    <t>ebc-FA159SV_1.jpg</t>
  </si>
  <si>
    <t>ebc-MXS115_1.jpg</t>
  </si>
  <si>
    <t>ebc-MD6370D_1.jpg</t>
  </si>
  <si>
    <t>ebc-FA701X_1.jpg</t>
  </si>
  <si>
    <t>ebc-FA453R_1.jpg</t>
  </si>
  <si>
    <t>ebc-327G_1.jpg</t>
  </si>
  <si>
    <t>ebc-EPFA181HH_1.jpg</t>
  </si>
  <si>
    <t>ebc-CSK36_1.jpg</t>
  </si>
  <si>
    <t>ebc-CSK19_1.jpg</t>
  </si>
  <si>
    <t>ebc-SRK78_1.jpg</t>
  </si>
  <si>
    <t>ebc-CSK196_1.jpg</t>
  </si>
  <si>
    <t>ebc-FA702R_1.jpg</t>
  </si>
  <si>
    <t>ebc-FA129V_1.jpg</t>
  </si>
  <si>
    <t>ebc-DRC79_1.jpg</t>
  </si>
  <si>
    <t>ebc-FA319/2_1.jpg</t>
  </si>
  <si>
    <t>ebc-CSK101_1.jpg</t>
  </si>
  <si>
    <t>ebc-FA445X_1.jpg</t>
  </si>
  <si>
    <t>ebc-SFA298_1.jpg</t>
  </si>
  <si>
    <t>ebc-FA388HH_1.jpg</t>
  </si>
  <si>
    <t>ebc-MD6145D_1.jpg</t>
  </si>
  <si>
    <t>ebc-SFA706HH_1.jpg</t>
  </si>
  <si>
    <t>ebc-SRC68_1.jpg</t>
  </si>
  <si>
    <t>ebc-519_1.jpg</t>
  </si>
  <si>
    <t>ebc-FA85_1.jpg</t>
  </si>
  <si>
    <t>ebc-EPFA381HH_1.jpg</t>
  </si>
  <si>
    <t>ebc-DRC131_1.jpg</t>
  </si>
  <si>
    <t>ebc-CT076SP_1.jpg</t>
  </si>
  <si>
    <t>ebc-315_1.jpg</t>
  </si>
  <si>
    <t>ebc-FA192HH_1.jpg</t>
  </si>
  <si>
    <t>ebc-FA88HH_1.jpg</t>
  </si>
  <si>
    <t>ebc-DRCF105_1.jpg</t>
  </si>
  <si>
    <t>ebc-DRCF42_1.jpg</t>
  </si>
  <si>
    <t>ebc-DRCF44_1.jpg</t>
  </si>
  <si>
    <t>ebc-DRCF88_1.jpg</t>
  </si>
  <si>
    <t>ebc-DRCF100_1.jpg</t>
  </si>
  <si>
    <t>ebc-DRCF128_1.jpg</t>
  </si>
  <si>
    <t>ebc-DRCF137_1.jpg</t>
  </si>
  <si>
    <t>ebc-DRCF200_1.jpg</t>
  </si>
  <si>
    <t>ebc-DRCF240_1.jpg</t>
  </si>
  <si>
    <t>ebc-CSK158_1.jpg</t>
  </si>
  <si>
    <t>ebc-704G_1.jpg</t>
  </si>
  <si>
    <t>ebc-CSK91_1.jpg</t>
  </si>
  <si>
    <t>ebc-MD6273D_1.jpg</t>
  </si>
  <si>
    <t>ebc-SFA260_1.jpg</t>
  </si>
  <si>
    <t>ebc-MD1077_1.jpg</t>
  </si>
  <si>
    <t>ebc-CT001_1.jpg</t>
  </si>
  <si>
    <t>ebc-619_1.jpg</t>
  </si>
  <si>
    <t>ebc-347S_1.jpg</t>
  </si>
  <si>
    <t>ebc-GPFAX604/4HH_1.jpg</t>
  </si>
  <si>
    <t>ebc-GPFAX95HH_1.jpg</t>
  </si>
  <si>
    <t>ebc-GPFAX197HH_1.jpg</t>
  </si>
  <si>
    <t>ebc-GPFAX244HH_1.jpg</t>
  </si>
  <si>
    <t>ebc-GPFAX347HH_1.jpg</t>
  </si>
  <si>
    <t>ebc-GPFAX417/4HH_1.jpg</t>
  </si>
  <si>
    <t>ebc-GPFAX442/4HH_1.jpg</t>
  </si>
  <si>
    <t>ebc-GPFAX296HH_1.jpg</t>
  </si>
  <si>
    <t>ebc-FA468R_1.jpg</t>
  </si>
  <si>
    <t>ebc-MD521_1.jpg</t>
  </si>
  <si>
    <t>ebc-MD6263D_1.jpg</t>
  </si>
  <si>
    <t>ebc-FA132R_1.jpg</t>
  </si>
  <si>
    <t>ebc-FA60_1.jpg</t>
  </si>
  <si>
    <t>ebc-MD6380D_1.jpg</t>
  </si>
  <si>
    <t>ebc-CK3399_1.jpg</t>
  </si>
  <si>
    <t>ebc-SFA321HH_1.jpg</t>
  </si>
  <si>
    <t>ebc-CSK201_1.jpg</t>
  </si>
  <si>
    <t>ebc-330G_1.jpg</t>
  </si>
  <si>
    <t>ebc-SRC83_1.jpg</t>
  </si>
  <si>
    <t>ebc-FA724HH_1.jpg</t>
  </si>
  <si>
    <t>ebc-FA738SV_1.jpg</t>
  </si>
  <si>
    <t>ebc-FA425_1.jpg</t>
  </si>
  <si>
    <t>ebc-MXS54_1.jpg</t>
  </si>
  <si>
    <t>ebc-FA233_1.jpg</t>
  </si>
  <si>
    <t>ebc-CT069_1.jpg</t>
  </si>
  <si>
    <t>ebc-831G_1.jpg</t>
  </si>
  <si>
    <t>ebc-FA228HH_1.jpg</t>
  </si>
  <si>
    <t>ebc-CSK203_1.jpg</t>
  </si>
  <si>
    <t>ebc-CK4485_1.jpg</t>
  </si>
  <si>
    <t>ebc-EPFA229HH_1.jpg</t>
  </si>
  <si>
    <t>ebc-GPFAX390HH_1.jpg</t>
  </si>
  <si>
    <t>ebc-DRC10_1.jpg</t>
  </si>
  <si>
    <t>ebc-MD1148_1.jpg</t>
  </si>
  <si>
    <t>ebc-MD3107XC_1.jpg</t>
  </si>
  <si>
    <t>ebc-FA373SV_1.jpg</t>
  </si>
  <si>
    <t>ebc-CSK200_1.jpg</t>
  </si>
  <si>
    <t>ebc-SFA324_1.jpg</t>
  </si>
  <si>
    <t>ebc-SRC22_1.jpg</t>
  </si>
  <si>
    <t>ebc-DRC101_1.jpg</t>
  </si>
  <si>
    <t>ebc-FA645SV_1.jpg</t>
  </si>
  <si>
    <t>ebc-FA123_1.jpg</t>
  </si>
  <si>
    <t>ebc-624G_1.jpg</t>
  </si>
  <si>
    <t>ebc-FA104V_1.jpg</t>
  </si>
  <si>
    <t>ebc-CK3382_1.jpg</t>
  </si>
  <si>
    <t>ebc-FA348_1.jpg</t>
  </si>
  <si>
    <t>ebc-FA354R_1.jpg</t>
  </si>
  <si>
    <t>ebc-FA710HH-OLD_1.jpg</t>
  </si>
  <si>
    <t>ebc-FA675SV_1.jpg</t>
  </si>
  <si>
    <t>ebc-CK1171_1.jpg</t>
  </si>
  <si>
    <t>ebc-FA629X_1.jpg</t>
  </si>
  <si>
    <t>ebc-FA267_1.jpg</t>
  </si>
  <si>
    <t>ebc-MD6135D_1.jpg</t>
  </si>
  <si>
    <t>ebc-CK1265_1.jpg</t>
  </si>
  <si>
    <t>ebc-SFA264_1.jpg</t>
  </si>
  <si>
    <t>ebc-MD6310C_1.jpg</t>
  </si>
  <si>
    <t>ebc-MXS152_1.jpg</t>
  </si>
  <si>
    <t>ebc-FA69HH_1.jpg</t>
  </si>
  <si>
    <t>ebc-MD6001D_1.jpg</t>
  </si>
  <si>
    <t>ebc-CSK169_1.jpg</t>
  </si>
  <si>
    <t>ebc-DRC100_1.jpg</t>
  </si>
  <si>
    <t>ebc-SRK77_1.jpg</t>
  </si>
  <si>
    <t>ebc-CK1312_1.jpg</t>
  </si>
  <si>
    <t>ebc-FA387V_1.jpg</t>
  </si>
  <si>
    <t>ebc-EPFA604/4HH_1.jpg</t>
  </si>
  <si>
    <t>ebc-FA457HH_1.jpg</t>
  </si>
  <si>
    <t>ebc-FA712R_1.jpg</t>
  </si>
  <si>
    <t>ebc-MD6247D_1.jpg</t>
  </si>
  <si>
    <t>ebc-FA226HH_1.jpg</t>
  </si>
  <si>
    <t>ebc-DRC298_1.jpg</t>
  </si>
  <si>
    <t>ebc-CT016_1.jpg</t>
  </si>
  <si>
    <t>ebc-SRK59_1.jpg</t>
  </si>
  <si>
    <t>ebc-MD1141X_1.jpg</t>
  </si>
  <si>
    <t>ebc-FA638_1.jpg</t>
  </si>
  <si>
    <t>ebc-FA618R_1.jpg</t>
  </si>
  <si>
    <t>ebc-MD4088_1.jpg</t>
  </si>
  <si>
    <t>ebc-CSK254_1.jpg</t>
  </si>
  <si>
    <t>ebc-FA152X_1.jpg</t>
  </si>
  <si>
    <t>ebc-MD6283D_1.jpg</t>
  </si>
  <si>
    <t>ebc-FA29_1.jpg</t>
  </si>
  <si>
    <t>ebc-636G_1.jpg</t>
  </si>
  <si>
    <t>ebc-BF-307 EACH_1.jpg</t>
  </si>
  <si>
    <t>ebc-FA103HH_1.jpg</t>
  </si>
  <si>
    <t>ebc-MD3039RS_1.jpg</t>
  </si>
  <si>
    <t>ebc-CK1191_1.jpg</t>
  </si>
  <si>
    <t>ebc-SRC71_1.jpg</t>
  </si>
  <si>
    <t>ebc-CK1293_1.jpg</t>
  </si>
  <si>
    <t>ebc-SRC3_1.jpg</t>
  </si>
  <si>
    <t>ebc-FA605/4V_1.jpg</t>
  </si>
  <si>
    <t>ebc-601_1.jpg</t>
  </si>
  <si>
    <t>ebc-CSK247_1.jpg</t>
  </si>
  <si>
    <t>ebc-MD801_1.jpg</t>
  </si>
  <si>
    <t>ebc-FA741R_1.jpg</t>
  </si>
  <si>
    <t>ebc-CT019_1.jpg</t>
  </si>
  <si>
    <t>ebc-CT015_1.jpg</t>
  </si>
  <si>
    <t>ebc-MD6174D_1.jpg</t>
  </si>
  <si>
    <t>ebc-MD6215D_1.jpg</t>
  </si>
  <si>
    <t>ebc-702_1.jpg</t>
  </si>
  <si>
    <t>ebc-MD1004C_1.jpg</t>
  </si>
  <si>
    <t>ebc-FA458V_1.jpg</t>
  </si>
  <si>
    <t>ebc-MD607LS_1.jpg</t>
  </si>
  <si>
    <t>ebc-FA68_1.jpg</t>
  </si>
  <si>
    <t>ebc-MD2099_1.jpg</t>
  </si>
  <si>
    <t>ebc-CT022_1.jpg</t>
  </si>
  <si>
    <t>ebc-FA273R_1.jpg</t>
  </si>
  <si>
    <t>ebc-EPFA345HH_1.jpg</t>
  </si>
  <si>
    <t>ebc-CK3454_1.jpg</t>
  </si>
  <si>
    <t>ebc-FA174_1.jpg</t>
  </si>
  <si>
    <t>ebc-629G_1.jpg</t>
  </si>
  <si>
    <t>ebc-CSK92_1.jpg</t>
  </si>
  <si>
    <t>ebc-SRC66_1.jpg</t>
  </si>
  <si>
    <t>ebc-FA710V-OLD_1.jpg</t>
  </si>
  <si>
    <t>ebc-DRC3_1.jpg</t>
  </si>
  <si>
    <t>ebc-DRC164_1.jpg</t>
  </si>
  <si>
    <t>ebc-602G_1.jpg</t>
  </si>
  <si>
    <t>ebc-DRC78_1.jpg</t>
  </si>
  <si>
    <t>ebc-MD6225D_1.jpg</t>
  </si>
  <si>
    <t>ebc-DRCF276_1.jpg</t>
  </si>
  <si>
    <t>ebc-DRC137_1.jpg</t>
  </si>
  <si>
    <t>ebc-MD1188X_1.jpg</t>
  </si>
  <si>
    <t>ebc-MD6190CX_1.jpg</t>
  </si>
  <si>
    <t>ebc-FA685X_1.jpg</t>
  </si>
  <si>
    <t>ebc-FA236_1.jpg</t>
  </si>
  <si>
    <t>ebc-CSK140_1.jpg</t>
  </si>
  <si>
    <t>ebc-FA192_1.jpg</t>
  </si>
  <si>
    <t>ebc-303_1.jpg</t>
  </si>
  <si>
    <t>ebc-FA458VLD_1.jpg</t>
  </si>
  <si>
    <t>ebc-MD3091XC_1.jpg</t>
  </si>
  <si>
    <t>ebc-FA230X_1.jpg</t>
  </si>
  <si>
    <t>ebc-CK3340_1.jpg</t>
  </si>
  <si>
    <t>ebc-MD533_1.jpg</t>
  </si>
  <si>
    <t>ebc-SFA408_1.jpg</t>
  </si>
  <si>
    <t>ebc-CK5644_1.jpg</t>
  </si>
  <si>
    <t>ebc-FA452X_1.jpg</t>
  </si>
  <si>
    <t>ebc-FA657R_1.jpg</t>
  </si>
  <si>
    <t>ebc-345_1.jpg</t>
  </si>
  <si>
    <t>ebc-CK1149_1.jpg</t>
  </si>
  <si>
    <t>ebc-FA302X_1.jpg</t>
  </si>
  <si>
    <t>ebc-CK3456_1.jpg</t>
  </si>
  <si>
    <t>ebc-CK2380_1.jpg</t>
  </si>
  <si>
    <t>ebc-SRK67_1.jpg</t>
  </si>
  <si>
    <t>ebc-621G_1.jpg</t>
  </si>
  <si>
    <t>ebc-FA94V_1.jpg</t>
  </si>
  <si>
    <t>ebc-MD6207D_1.jpg</t>
  </si>
  <si>
    <t>ebc-DRC82_1.jpg</t>
  </si>
  <si>
    <t>ebc-FA323X_1.jpg</t>
  </si>
  <si>
    <t>ebc-SFA384_1.jpg</t>
  </si>
  <si>
    <t>ebc-FA79_1.jpg</t>
  </si>
  <si>
    <t>ebc-DRC200_1.jpg</t>
  </si>
  <si>
    <t>ebc-EPFA252HH_1.jpg</t>
  </si>
  <si>
    <t>ebc-CSK62_1.jpg</t>
  </si>
  <si>
    <t>ebc-SFA415_1.jpg</t>
  </si>
  <si>
    <t>ebc-FA236HH_1.jpg</t>
  </si>
  <si>
    <t>ebc-CSK37_1.jpg</t>
  </si>
  <si>
    <t>ebc-GPFAX380HH_1.jpg</t>
  </si>
  <si>
    <t>ebc-MD4128_1.jpg</t>
  </si>
  <si>
    <t>ebc-SRK89_1.jpg</t>
  </si>
  <si>
    <t>ebc-SRK139_1.jpg</t>
  </si>
  <si>
    <t>ebc-SRK102_1.jpg</t>
  </si>
  <si>
    <t>ebc-CT044_1.jpg</t>
  </si>
  <si>
    <t>ebc-SFA498_1.jpg</t>
  </si>
  <si>
    <t>ebc-CSK47_1.jpg</t>
  </si>
  <si>
    <t>ebc-MD6383D_1.jpg</t>
  </si>
  <si>
    <t>ebc-DRCF159_1.jpg</t>
  </si>
  <si>
    <t>ebc-SFA252_1.jpg</t>
  </si>
  <si>
    <t>ebc-FA357X_1.jpg</t>
  </si>
  <si>
    <t>ebc-FA317X_1.jpg</t>
  </si>
  <si>
    <t>ebc-FA121_1.jpg</t>
  </si>
  <si>
    <t>ebc-DRC273_1.jpg</t>
  </si>
  <si>
    <t>ebc-MD6181D_1.jpg</t>
  </si>
  <si>
    <t>ebc-FA181R_1.jpg</t>
  </si>
  <si>
    <t>ebc-FA345HH_1.jpg</t>
  </si>
  <si>
    <t>ebc-FA337X_1.jpg</t>
  </si>
  <si>
    <t>ebc-CT002_1.jpg</t>
  </si>
  <si>
    <t>ebc-DRC229_1.jpg</t>
  </si>
  <si>
    <t>ebc-DRCF201_1.jpg</t>
  </si>
  <si>
    <t>ebc-CK2316_1.jpg</t>
  </si>
  <si>
    <t>ebc-MD6078D_1.jpg</t>
  </si>
  <si>
    <t>ebc-MD6398D_1.jpg</t>
  </si>
  <si>
    <t>ebc-SFA260HH_1.jpg</t>
  </si>
  <si>
    <t>ebc-CSK911_1.jpg</t>
  </si>
  <si>
    <t>ebc-MD3058X_1.jpg</t>
  </si>
  <si>
    <t>ebc-FA642R_1.jpg</t>
  </si>
  <si>
    <t>ebc-CK1163_1.jpg</t>
  </si>
  <si>
    <t>ebc-CK2240_1.jpg</t>
  </si>
  <si>
    <t>ebc-EPFA454/4HH_1.jpg</t>
  </si>
  <si>
    <t>ebc-CKF4514_1.jpg</t>
  </si>
  <si>
    <t>ebc-CK1219_1.jpg</t>
  </si>
  <si>
    <t>ebc-DRC121_1.jpg</t>
  </si>
  <si>
    <t>ebc-DRC182_1.jpg</t>
  </si>
  <si>
    <t>ebc-CSK147_1.jpg</t>
  </si>
  <si>
    <t>ebc-CK1248_1.jpg</t>
  </si>
  <si>
    <t>ebc-FA106/2_1.jpg</t>
  </si>
  <si>
    <t>ebc-CK4513_1.jpg</t>
  </si>
  <si>
    <t>ebc-SXR656HH_1.jpg</t>
  </si>
  <si>
    <t>ebc-DRC42_1.jpg</t>
  </si>
  <si>
    <t>ebc-MD6305D_1.jpg</t>
  </si>
  <si>
    <t>ebc-MD514LS_1.jpg</t>
  </si>
  <si>
    <t>ebc-CK3392_1.jpg</t>
  </si>
  <si>
    <t>ebc-FA231/3V_1.jpg</t>
  </si>
  <si>
    <t>ebc-CK3468_1.jpg</t>
  </si>
  <si>
    <t>ebc-MD4161XC_1.jpg</t>
  </si>
  <si>
    <t>ebc-DRCF131_1.jpg</t>
  </si>
  <si>
    <t>ebc-CK1160_1.jpg</t>
  </si>
  <si>
    <t>ebc-MD666XC_1.jpg</t>
  </si>
  <si>
    <t>ebc-CSK13_1.jpg</t>
  </si>
  <si>
    <t>ebc-MD1059LS_1.jpg</t>
  </si>
  <si>
    <t>ebc-CK1170_1.jpg</t>
  </si>
  <si>
    <t>ebc-CK4421_1.jpg</t>
  </si>
  <si>
    <t>ebc-FA676R_1.jpg</t>
  </si>
  <si>
    <t>ebc-EPFA379HH_1.jpg</t>
  </si>
  <si>
    <t>ebc-FA69/3HH_1.jpg</t>
  </si>
  <si>
    <t>ebc-SRK121_1.jpg</t>
  </si>
  <si>
    <t>ebc-SXR395HH_1.jpg</t>
  </si>
  <si>
    <t>ebc-FA302R_1.jpg</t>
  </si>
  <si>
    <t>ebc-FA216/3HH_1.jpg</t>
  </si>
  <si>
    <t>ebc-CSK31_1.jpg</t>
  </si>
  <si>
    <t>ebc-MD6173D_1.jpg</t>
  </si>
  <si>
    <t>ebc-CK3417_1.jpg</t>
  </si>
  <si>
    <t>ebc-FA351X_1.jpg</t>
  </si>
  <si>
    <t>ebc-MD4147_1.jpg</t>
  </si>
  <si>
    <t>ebc-SFA116_1.jpg</t>
  </si>
  <si>
    <t>ebc-841G_1.jpg</t>
  </si>
  <si>
    <t>ebc-FA377_1.jpg</t>
  </si>
  <si>
    <t>ebc-CSK197_1.jpg</t>
  </si>
  <si>
    <t>ebc-MD6309CX_1.jpg</t>
  </si>
  <si>
    <t>ebc-MD4063_1.jpg</t>
  </si>
  <si>
    <t>ebc-DRC269_1.jpg</t>
  </si>
  <si>
    <t>ebc-FA701SV_1.jpg</t>
  </si>
  <si>
    <t>ebc-FA81_1.jpg</t>
  </si>
  <si>
    <t>ebc-322_1.jpg</t>
  </si>
  <si>
    <t>ebc-FA368R_1.jpg</t>
  </si>
  <si>
    <t>ebc-508_1.jpg</t>
  </si>
  <si>
    <t>ebc-MD523_1.jpg</t>
  </si>
  <si>
    <t>ebc-FA296HH_1.jpg</t>
  </si>
  <si>
    <t>ebc-DRC231_1.jpg</t>
  </si>
  <si>
    <t>ebc-FA617X_1.jpg</t>
  </si>
  <si>
    <t>ebc-MD687_1.jpg</t>
  </si>
  <si>
    <t>ebc-503G_1.jpg</t>
  </si>
  <si>
    <t>ebc-MCD-SPORT_1.jpg</t>
  </si>
  <si>
    <t>ebc-MLF-IMP_1.jpg</t>
  </si>
  <si>
    <t>ebc-504_1.jpg</t>
  </si>
  <si>
    <t>ebc-FA90V_1.jpg</t>
  </si>
  <si>
    <t>ebc-MD6006D_1.jpg</t>
  </si>
  <si>
    <t>ebc-CK2303_1.jpg</t>
  </si>
  <si>
    <t>ebc-FA414R_1.jpg</t>
  </si>
  <si>
    <t>ebc-FA450R_1.jpg</t>
  </si>
  <si>
    <t>ebc-SFA193_1.jpg</t>
  </si>
  <si>
    <t>ebc-SFA54_1.jpg</t>
  </si>
  <si>
    <t>ebc-CSK111_1.jpg</t>
  </si>
  <si>
    <t>ebc-MD2103_1.jpg</t>
  </si>
  <si>
    <t>ebc-MD6191D_1.jpg</t>
  </si>
  <si>
    <t>ebc-CSK170_1.jpg</t>
  </si>
  <si>
    <t>ebc-DRC97_1.jpg</t>
  </si>
  <si>
    <t>ebc-FA656SV_1.jpg</t>
  </si>
  <si>
    <t>ebc-CSK110_1.jpg</t>
  </si>
  <si>
    <t>ebc-FA83R_1.jpg</t>
  </si>
  <si>
    <t>ebc-DRC70_1.jpg</t>
  </si>
  <si>
    <t>ebc-FA86HH_1.jpg</t>
  </si>
  <si>
    <t>ebc-SXR135HH_1.jpg</t>
  </si>
  <si>
    <t>ebc-CK1290_1.jpg</t>
  </si>
  <si>
    <t>ebc-CSK137_1.jpg</t>
  </si>
  <si>
    <t>ebc-DRC255_1.jpg</t>
  </si>
  <si>
    <t>ebc-FA48_1.jpg</t>
  </si>
  <si>
    <t>ebc-SXR317HH_1.jpg</t>
  </si>
  <si>
    <t>ebc-338G_1.jpg</t>
  </si>
  <si>
    <t>ebc-CSK133_1.jpg</t>
  </si>
  <si>
    <t>ebc-SRK86_1.jpg</t>
  </si>
  <si>
    <t>ebc-DRC168_1.jpg</t>
  </si>
  <si>
    <t>ebc-SRC46_1.jpg</t>
  </si>
  <si>
    <t>ebc-FA752R_1.jpg</t>
  </si>
  <si>
    <t>ebc-CT068SP_1.jpg</t>
  </si>
  <si>
    <t>ebc-FA398R_1.jpg</t>
  </si>
  <si>
    <t>ebc-MXS181_1.jpg</t>
  </si>
  <si>
    <t>ebc-CSK210_1.jpg</t>
  </si>
  <si>
    <t>ebc-504G_1.jpg</t>
  </si>
  <si>
    <t>ebc-FA45V_1.jpg</t>
  </si>
  <si>
    <t>ebc-626G_1.jpg</t>
  </si>
  <si>
    <t>ebc-FA141_1.jpg</t>
  </si>
  <si>
    <t>ebc-SFA186_1.jpg</t>
  </si>
  <si>
    <t>ebc-FA232X_1.jpg</t>
  </si>
  <si>
    <t>ebc-EPFA208HH_1.jpg</t>
  </si>
  <si>
    <t>ebc-DRC177_1.jpg</t>
  </si>
  <si>
    <t>ebc-CT004_1.jpg</t>
  </si>
  <si>
    <t>ebc-CK4488_1.jpg</t>
  </si>
  <si>
    <t>ebc-FA605/4HH_1.jpg</t>
  </si>
  <si>
    <t>ebc-CSK198_1.jpg</t>
  </si>
  <si>
    <t>ebc-MD1003X_1.jpg</t>
  </si>
  <si>
    <t>ebc-CT039_1.jpg</t>
  </si>
  <si>
    <t>ebc-FA432HH_1.jpg</t>
  </si>
  <si>
    <t>ebc-MD6223D_1.jpg</t>
  </si>
  <si>
    <t>ebc-323G_1.jpg</t>
  </si>
  <si>
    <t>ebc-CSK239_1.jpg</t>
  </si>
  <si>
    <t>ebc-MXS84/3_1.jpg</t>
  </si>
  <si>
    <t>ebc-SFA608_1.jpg</t>
  </si>
  <si>
    <t>ebc-FA160_1.jpg</t>
  </si>
  <si>
    <t>ebc-DRCF43_1.jpg</t>
  </si>
  <si>
    <t>ebc-CSK117_1.jpg</t>
  </si>
  <si>
    <t>ebc-518_1.jpg</t>
  </si>
  <si>
    <t>ebc-523_1.jpg</t>
  </si>
  <si>
    <t>ebc-351G_1.jpg</t>
  </si>
  <si>
    <t>ebc-FA69V_1.jpg</t>
  </si>
  <si>
    <t>ebc-FA161V_1.jpg</t>
  </si>
  <si>
    <t>ebc-EPFA265HH_1.jpg</t>
  </si>
  <si>
    <t>ebc-EPFA450HH_1.jpg</t>
  </si>
  <si>
    <t>ebc-FA109_1.jpg</t>
  </si>
  <si>
    <t>ebc-MD6254C_1.jpg</t>
  </si>
  <si>
    <t>ebc-801G_1.jpg</t>
  </si>
  <si>
    <t>ebc-SRK94_1.jpg</t>
  </si>
  <si>
    <t>ebc-MXS185_1.jpg</t>
  </si>
  <si>
    <t>ebc-FA739R_1.jpg</t>
  </si>
  <si>
    <t>ebc-MD6196D_1.jpg</t>
  </si>
  <si>
    <t>ebc-CSK83_1.jpg</t>
  </si>
  <si>
    <t>ebc-FA174HH_1.jpg</t>
  </si>
  <si>
    <t>ebc-SFA298HH_1.jpg</t>
  </si>
  <si>
    <t>ebc-FA662_1.jpg</t>
  </si>
  <si>
    <t>ebc-FA172R_1.jpg</t>
  </si>
  <si>
    <t>ebc-FA436_1.jpg</t>
  </si>
  <si>
    <t>ebc-312G_1.jpg</t>
  </si>
  <si>
    <t>ebc-MD3095RS_1.jpg</t>
  </si>
  <si>
    <t>ebc-FA658V_1.jpg</t>
  </si>
  <si>
    <t>ebc-SFA194HH_1.jpg</t>
  </si>
  <si>
    <t>ebc-FA135X_1.jpg</t>
  </si>
  <si>
    <t>ebc-FA387HH_1.jpg</t>
  </si>
  <si>
    <t>ebc-MD6292D_1.jpg</t>
  </si>
  <si>
    <t>ebc-332_1.jpg</t>
  </si>
  <si>
    <t>ebc-SRC93_1.jpg</t>
  </si>
  <si>
    <t>ebc-MD803_1.jpg</t>
  </si>
  <si>
    <t>ebc-FA68V_1.jpg</t>
  </si>
  <si>
    <t>ebc-SRK88_1.jpg</t>
  </si>
  <si>
    <t>ebc-DRC117_1.jpg</t>
  </si>
  <si>
    <t>ebc-CT066SP_1.jpg</t>
  </si>
  <si>
    <t>ebc-FA702SV_1.jpg</t>
  </si>
  <si>
    <t>ebc-FA313SV_1.jpg</t>
  </si>
  <si>
    <t>ebc-SFA142_1.jpg</t>
  </si>
  <si>
    <t>ebc-MD6274D_1.jpg</t>
  </si>
  <si>
    <t>ebc-CSK48_1.jpg</t>
  </si>
  <si>
    <t>ebc-FA457VLD_1.jpg</t>
  </si>
  <si>
    <t>ebc-FA424_1.jpg</t>
  </si>
  <si>
    <t>ebc-FA348HH_1.jpg</t>
  </si>
  <si>
    <t>ebc-FA388/2HH_1.jpg</t>
  </si>
  <si>
    <t>ebc-FA609R_1.jpg</t>
  </si>
  <si>
    <t>ebc-MD6024D_1.jpg</t>
  </si>
  <si>
    <t>ebc-FA445SV_1.jpg</t>
  </si>
  <si>
    <t>ebc-MXS152/2_1.jpg</t>
  </si>
  <si>
    <t>ebc-SFA86_1.jpg</t>
  </si>
  <si>
    <t>ebc-CSK34_1.jpg</t>
  </si>
  <si>
    <t>ebc-DRC83_1.jpg</t>
  </si>
  <si>
    <t>ebc-CSK21_1.jpg</t>
  </si>
  <si>
    <t>ebc-FA65_1.jpg</t>
  </si>
  <si>
    <t>ebc-FA450X_1.jpg</t>
  </si>
  <si>
    <t>ebc-CK2350_1.jpg</t>
  </si>
  <si>
    <t>ebc-DRC94_1.jpg</t>
  </si>
  <si>
    <t>ebc-CSK81_1.jpg</t>
  </si>
  <si>
    <t>ebc-EPFA294HH_1.jpg</t>
  </si>
  <si>
    <t>ebc-EPFA388HH_1.jpg</t>
  </si>
  <si>
    <t>ebc-EPFA407HH_1.jpg</t>
  </si>
  <si>
    <t>ebc-MD2096_1.jpg</t>
  </si>
  <si>
    <t>ebc-FA443X_1.jpg</t>
  </si>
  <si>
    <t>ebc-CSK122_1.jpg</t>
  </si>
  <si>
    <t>ebc-MD6123D_1.jpg</t>
  </si>
  <si>
    <t>ebc-FA222_1.jpg</t>
  </si>
  <si>
    <t>ebc-MD6054D_1.jpg</t>
  </si>
  <si>
    <t>ebc-FA726R_1.jpg</t>
  </si>
  <si>
    <t>ebc-SFA257/2_1.jpg</t>
  </si>
  <si>
    <t>ebc-FA11_1.jpg</t>
  </si>
  <si>
    <t>ebc-CK5605_1.jpg</t>
  </si>
  <si>
    <t>ebc-DRC102_1.jpg</t>
  </si>
  <si>
    <t>ebc-CSK178_1.jpg</t>
  </si>
  <si>
    <t>ebc-FA691_1.jpg</t>
  </si>
  <si>
    <t>ebc-SFA705_1.jpg</t>
  </si>
  <si>
    <t>ebc-FA22V_1.jpg</t>
  </si>
  <si>
    <t>ebc-SRC84_1.jpg</t>
  </si>
  <si>
    <t>ebc-FA342SV_1.jpg</t>
  </si>
  <si>
    <t>ebc-CK5639_1.jpg</t>
  </si>
  <si>
    <t>ebc-DRC299_1.jpg</t>
  </si>
  <si>
    <t>ebc-CSK149_1.jpg</t>
  </si>
  <si>
    <t>ebc-MXS450_1.jpg</t>
  </si>
  <si>
    <t>ebc-MD1157X_1.jpg</t>
  </si>
  <si>
    <t>ebc-MD3106C_1.jpg</t>
  </si>
  <si>
    <t>ebc-FA685SV_1.jpg</t>
  </si>
  <si>
    <t>ebc-535_1.jpg</t>
  </si>
  <si>
    <t>ebc-MD1016_1.jpg</t>
  </si>
  <si>
    <t>ebc-SFA388_1.jpg</t>
  </si>
  <si>
    <t>ebc-FA313R_1.jpg</t>
  </si>
  <si>
    <t>ebc-527_1.jpg</t>
  </si>
  <si>
    <t>ebc-340_1.jpg</t>
  </si>
  <si>
    <t>ebc-FA84X_1.jpg</t>
  </si>
  <si>
    <t>ebc-FA84/3R_1.jpg</t>
  </si>
  <si>
    <t>ebc-FA67R_1.jpg</t>
  </si>
  <si>
    <t>ebc-CT032_1.jpg</t>
  </si>
  <si>
    <t>ebc-FA88V_1.jpg</t>
  </si>
  <si>
    <t>ebc-SFA83_1.jpg</t>
  </si>
  <si>
    <t>ebc-MD516_1.jpg</t>
  </si>
  <si>
    <t>ebc-302_1.jpg</t>
  </si>
  <si>
    <t>ebc-FA190_1.jpg</t>
  </si>
  <si>
    <t>ebc-FA190HH_1.jpg</t>
  </si>
  <si>
    <t>ebc-628G_1.jpg</t>
  </si>
  <si>
    <t>ebc-FA261HH_1.jpg</t>
  </si>
  <si>
    <t>ebc-FA230R_1.jpg</t>
  </si>
  <si>
    <t>ebc-DRC84_1.jpg</t>
  </si>
  <si>
    <t>ebc-CT014SP_1.jpg</t>
  </si>
  <si>
    <t>ebc-CK4524_1.jpg</t>
  </si>
  <si>
    <t>ebc-CK1298_1.jpg</t>
  </si>
  <si>
    <t>ebc-MD6410D_1.jpg</t>
  </si>
  <si>
    <t>ebc-FA612R_1.jpg</t>
  </si>
  <si>
    <t>ebc-FA106R_1.jpg</t>
  </si>
  <si>
    <t>ebc-516_1.jpg</t>
  </si>
  <si>
    <t>ebc-893_1.jpg</t>
  </si>
  <si>
    <t>ebc-FA373X_1.jpg</t>
  </si>
  <si>
    <t>ebc-FA252HH_1.jpg</t>
  </si>
  <si>
    <t>ebc-FA475SV_1.jpg</t>
  </si>
  <si>
    <t>ebc-FA131X_1.jpg</t>
  </si>
  <si>
    <t>ebc-MD6220D_1.jpg</t>
  </si>
  <si>
    <t>ebc-CT048SP_1.jpg</t>
  </si>
  <si>
    <t>ebc-FA698HH_1.jpg</t>
  </si>
  <si>
    <t>ebc-FA428SV_1.jpg</t>
  </si>
  <si>
    <t>ebc-DRC45_1.jpg</t>
  </si>
  <si>
    <t>ebc-MD6010D_1.jpg</t>
  </si>
  <si>
    <t>ebc-CT053SP_1.jpg</t>
  </si>
  <si>
    <t>ebc-FA84R_1.jpg</t>
  </si>
  <si>
    <t>ebc-SRK103_1.jpg</t>
  </si>
  <si>
    <t>ebc-EPFA457HH_1.jpg</t>
  </si>
  <si>
    <t>ebc-MD6131D_1.jpg</t>
  </si>
  <si>
    <t>ebc-FA84/2R_1.jpg</t>
  </si>
  <si>
    <t>ebc-SFA305_1.jpg</t>
  </si>
  <si>
    <t>ebc-SFA181_1.jpg</t>
  </si>
  <si>
    <t>ebc-MD6408D_1.jpg</t>
  </si>
  <si>
    <t>ebc-FA680SV_1.jpg</t>
  </si>
  <si>
    <t>ebc-FA462R_1.jpg</t>
  </si>
  <si>
    <t>ebc-CK3390_1.jpg</t>
  </si>
  <si>
    <t>ebc-CSK67_1.jpg</t>
  </si>
  <si>
    <t>ebc-MD671_1.jpg</t>
  </si>
  <si>
    <t>ebc-FA457V_1.jpg</t>
  </si>
  <si>
    <t>ebc-703G_1.jpg</t>
  </si>
  <si>
    <t>ebc-CT014_1.jpg</t>
  </si>
  <si>
    <t>ebc-CK2379_1.jpg</t>
  </si>
  <si>
    <t>ebc-SRC62_1.jpg</t>
  </si>
  <si>
    <t>ebc-606_1.jpg</t>
  </si>
  <si>
    <t>ebc-FA95HH_1.jpg</t>
  </si>
  <si>
    <t>ebc-FA55_1.jpg</t>
  </si>
  <si>
    <t>ebc-FA47X_1.jpg</t>
  </si>
  <si>
    <t>ebc-CK2312_1.jpg</t>
  </si>
  <si>
    <t>ebc-SRK140_1.jpg</t>
  </si>
  <si>
    <t>ebc-MD6397D_1.jpg</t>
  </si>
  <si>
    <t>ebc-FA137R_1.jpg</t>
  </si>
  <si>
    <t>ebc-613_1.jpg</t>
  </si>
  <si>
    <t>ebc-SFA266_1.jpg</t>
  </si>
  <si>
    <t>ebc-615_1.jpg</t>
  </si>
  <si>
    <t>ebc-CK4510_1.jpg</t>
  </si>
  <si>
    <t>ebc-CK3402_1.jpg</t>
  </si>
  <si>
    <t>ebc-DRC49_1.jpg</t>
  </si>
  <si>
    <t>ebc-CK3433_1.jpg</t>
  </si>
  <si>
    <t>ebc-SRC20_1.jpg</t>
  </si>
  <si>
    <t>ebc-MD6164D_1.jpg</t>
  </si>
  <si>
    <t>ebc-FA229V_1.jpg</t>
  </si>
  <si>
    <t>ebc-CT005_1.jpg</t>
  </si>
  <si>
    <t>ebc-SFA86HH_1.jpg</t>
  </si>
  <si>
    <t>ebc-FA355R_1.jpg</t>
  </si>
  <si>
    <t>ebc-MD9144D_1.jpg</t>
  </si>
  <si>
    <t>ebc-FA700HH_1.jpg</t>
  </si>
  <si>
    <t>ebc-MD4152XC_1.jpg</t>
  </si>
  <si>
    <t>ebc-CK1133_1.jpg</t>
  </si>
  <si>
    <t>ebc-FA33_1.jpg</t>
  </si>
  <si>
    <t>ebc-FA465X_1.jpg</t>
  </si>
  <si>
    <t>ebc-FA12V_1.jpg</t>
  </si>
  <si>
    <t>ebc-FA712X_1.jpg</t>
  </si>
  <si>
    <t>ebc-MD643_1.jpg</t>
  </si>
  <si>
    <t>ebc-CKF1293_1.jpg</t>
  </si>
  <si>
    <t>ebc-CSK66_1.jpg</t>
  </si>
  <si>
    <t>ebc-MD2114_1.jpg</t>
  </si>
  <si>
    <t>ebc-514_1.jpg</t>
  </si>
  <si>
    <t>ebc-FA298_1.jpg</t>
  </si>
  <si>
    <t>ebc-FA188_1.jpg</t>
  </si>
  <si>
    <t>ebc-FA645X_1.jpg</t>
  </si>
  <si>
    <t>ebc-SRC80_1.jpg</t>
  </si>
  <si>
    <t>ebc-FA631HH_1.jpg</t>
  </si>
  <si>
    <t>ebc-510_1.jpg</t>
  </si>
  <si>
    <t>ebc-FA266HH_1.jpg</t>
  </si>
  <si>
    <t>ebc-FA438HH_1.jpg</t>
  </si>
  <si>
    <t>ebc-MD6310CX_1.jpg</t>
  </si>
  <si>
    <t>ebc-FA491HH_1.jpg</t>
  </si>
  <si>
    <t>ebc-FA189_1.jpg</t>
  </si>
  <si>
    <t>ebc-SFA209/2HH_1.jpg</t>
  </si>
  <si>
    <t>ebc-CK1247_1.jpg</t>
  </si>
  <si>
    <t>ebc-DRC144_1.jpg</t>
  </si>
  <si>
    <t>ebc-FA271R_1.jpg</t>
  </si>
  <si>
    <t>ebc-MD2089XC_1.jpg</t>
  </si>
  <si>
    <t>ebc-SRC29_1.jpg</t>
  </si>
  <si>
    <t>ebc-718_1.jpg</t>
  </si>
  <si>
    <t>ebc-FA703R_1.jpg</t>
  </si>
  <si>
    <t>ebc-CT041_1.jpg</t>
  </si>
  <si>
    <t>ebc-MD6023D_1.jpg</t>
  </si>
  <si>
    <t>ebc-SFA693HH_1.jpg</t>
  </si>
  <si>
    <t>ebc-MD6336C_1.jpg</t>
  </si>
  <si>
    <t>ebc-MD6063D_1.jpg</t>
  </si>
  <si>
    <t>ebc-SRK101_1.jpg</t>
  </si>
  <si>
    <t>ebc-513_1.jpg</t>
  </si>
  <si>
    <t>ebc-FA147X_1.jpg</t>
  </si>
  <si>
    <t>ebc-DRC73_1.jpg</t>
  </si>
  <si>
    <t>ebc-MD1154X_1.jpg</t>
  </si>
  <si>
    <t>ebc-338_1.jpg</t>
  </si>
  <si>
    <t>ebc-FA436HH_1.jpg</t>
  </si>
  <si>
    <t>ebc-MD3100X_1.jpg</t>
  </si>
  <si>
    <t>ebc-SFA115HH_1.jpg</t>
  </si>
  <si>
    <t>ebc-MD4054_1.jpg</t>
  </si>
  <si>
    <t>ebc-OS6037C_1.jpg</t>
  </si>
  <si>
    <t>ebc-CK2310_1.jpg</t>
  </si>
  <si>
    <t>ebc-MD6068D_1.jpg</t>
  </si>
  <si>
    <t>ebc-MD834_1.jpg</t>
  </si>
  <si>
    <t>ebc-FA18_1.jpg</t>
  </si>
  <si>
    <t>ebc-CK4478_1.jpg</t>
  </si>
  <si>
    <t>ebc-DRC2_1.jpg</t>
  </si>
  <si>
    <t>ebc-FA196V_1.jpg</t>
  </si>
  <si>
    <t>ebc-FA111X_1.jpg</t>
  </si>
  <si>
    <t>ebc-FA76V_1.jpg</t>
  </si>
  <si>
    <t>ebc-DRC145_1.jpg</t>
  </si>
  <si>
    <t>ebc-CK3348_1.jpg</t>
  </si>
  <si>
    <t>ebc-FA366_1.jpg</t>
  </si>
  <si>
    <t>ebc-FA211_1.jpg</t>
  </si>
  <si>
    <t>ebc-MD6170D_1.jpg</t>
  </si>
  <si>
    <t>ebc-DRCF155_1.jpg</t>
  </si>
  <si>
    <t>ebc-FA317R_1.jpg</t>
  </si>
  <si>
    <t>ebc-MD2081_1.jpg</t>
  </si>
  <si>
    <t>ebc-328G_1.jpg</t>
  </si>
  <si>
    <t>ebc-SRC38_1.jpg</t>
  </si>
  <si>
    <t>ebc-CK2254_1.jpg</t>
  </si>
  <si>
    <t>ebc-CSK72_1.jpg</t>
  </si>
  <si>
    <t>ebc-FA444SV_1.jpg</t>
  </si>
  <si>
    <t>ebc-CK1302_1.jpg</t>
  </si>
  <si>
    <t>ebc-MD6241D_1.jpg</t>
  </si>
  <si>
    <t>ebc-802G_1.jpg</t>
  </si>
  <si>
    <t>ebc-DRC5_1.jpg</t>
  </si>
  <si>
    <t>ebc-CSK134_1.jpg</t>
  </si>
  <si>
    <t>ebc-CSK2_1.jpg</t>
  </si>
  <si>
    <t>ebc-FA67/3_1.jpg</t>
  </si>
  <si>
    <t>ebc-FA600/2X_1.jpg</t>
  </si>
  <si>
    <t>ebc-FA63V_1.jpg</t>
  </si>
  <si>
    <t>ebc-SFA413_1.jpg</t>
  </si>
  <si>
    <t>ebc-CK4436_1.jpg</t>
  </si>
  <si>
    <t>ebc-FA400HH_1.jpg</t>
  </si>
  <si>
    <t>ebc-347_1.jpg</t>
  </si>
  <si>
    <t>ebc-FA179_1.jpg</t>
  </si>
  <si>
    <t>ebc-MD1014X_1.jpg</t>
  </si>
  <si>
    <t>ebc-DRC43_1.jpg</t>
  </si>
  <si>
    <t>ebc-FA323R_1.jpg</t>
  </si>
  <si>
    <t>ebc-FA473_1.jpg</t>
  </si>
  <si>
    <t>ebc-CSK88_1.jpg</t>
  </si>
  <si>
    <t>ebc-FA146_1.jpg</t>
  </si>
  <si>
    <t>ebc-FA400V_1.jpg</t>
  </si>
  <si>
    <t>ebc-CK3448_1.jpg</t>
  </si>
  <si>
    <t>ebc-MD6409C_1.jpg</t>
  </si>
  <si>
    <t>ebc-FA106X_1.jpg</t>
  </si>
  <si>
    <t>ebc-FA617R_1.jpg</t>
  </si>
  <si>
    <t>ebc-EPFA322/4HH_1.jpg</t>
  </si>
  <si>
    <t>ebc-311_1.jpg</t>
  </si>
  <si>
    <t>ebc-347SG_1.jpg</t>
  </si>
  <si>
    <t>ebc-MD6191C_1.jpg</t>
  </si>
  <si>
    <t>ebc-MD3008_1.jpg</t>
  </si>
  <si>
    <t>ebc-FA61V_1.jpg</t>
  </si>
  <si>
    <t>ebc-CSK160_1.jpg</t>
  </si>
  <si>
    <t>ebc-SRC33_1.jpg</t>
  </si>
  <si>
    <t>ebc-MD4009_1.jpg</t>
  </si>
  <si>
    <t>ebc-FA325X_1.jpg</t>
  </si>
  <si>
    <t>ebc-MD2125C_1.jpg</t>
  </si>
  <si>
    <t>ebc-CT031_1.jpg</t>
  </si>
  <si>
    <t>ebc-MD6030D_1.jpg</t>
  </si>
  <si>
    <t>ebc-FA704R_1.jpg</t>
  </si>
  <si>
    <t>ebc-EPFA400HH_1.jpg</t>
  </si>
  <si>
    <t>ebc-FA124/2V_1.jpg</t>
  </si>
  <si>
    <t>ebc-CK4503_1.jpg</t>
  </si>
  <si>
    <t>ebc-352_1.jpg</t>
  </si>
  <si>
    <t>ebc-DRC222_1.jpg</t>
  </si>
  <si>
    <t>ebc-MD3006X_1.jpg</t>
  </si>
  <si>
    <t>ebc-MD3028LS_1.jpg</t>
  </si>
  <si>
    <t>ebc-SRC118_1.jpg</t>
  </si>
  <si>
    <t>ebc-CK4453_1.jpg</t>
  </si>
  <si>
    <t>ebc-MD4087_1.jpg</t>
  </si>
  <si>
    <t>ebc-DOT-5 EACH_1.jpg</t>
  </si>
  <si>
    <t>ebc-CK5642_1.jpg</t>
  </si>
  <si>
    <t>ebc-SFA492_1.jpg</t>
  </si>
  <si>
    <t>ebc-MD6211D_1.jpg</t>
  </si>
  <si>
    <t>ebc-DRC212_1.jpg</t>
  </si>
  <si>
    <t>ebc-FA436V_1.jpg</t>
  </si>
  <si>
    <t>ebc-CT018SP_1.jpg</t>
  </si>
  <si>
    <t>ebc-CK1319_1.jpg</t>
  </si>
  <si>
    <t>ebc-CSK237_1.jpg</t>
  </si>
  <si>
    <t>ebc-FA414SV_1.jpg</t>
  </si>
  <si>
    <t>ebc-861_1.jpg</t>
  </si>
  <si>
    <t>ebc-MD3014LS_1.jpg</t>
  </si>
  <si>
    <t>ebc-FA54R_1.jpg</t>
  </si>
  <si>
    <t>ebc-FA442/4HH_1.jpg</t>
  </si>
  <si>
    <t>ebc-FA638V_1.jpg</t>
  </si>
  <si>
    <t>ebc-FA657SV_1.jpg</t>
  </si>
  <si>
    <t>ebc-DRC181_1.jpg</t>
  </si>
  <si>
    <t>ebc-SFA356HH_1.jpg</t>
  </si>
  <si>
    <t>ebc-FA275_1.jpg</t>
  </si>
  <si>
    <t>ebc-FA683X_1.jpg</t>
  </si>
  <si>
    <t>ebc-SRC59_1.jpg</t>
  </si>
  <si>
    <t>ebc-530_1.jpg</t>
  </si>
  <si>
    <t>ebc-CK2280_1.jpg</t>
  </si>
  <si>
    <t>ebc-MD9169D_1.jpg</t>
  </si>
  <si>
    <t>ebc-FA294HH_1.jpg</t>
  </si>
  <si>
    <t>ebc-CSK131_1.jpg</t>
  </si>
  <si>
    <t>ebc-CSK165_1.jpg</t>
  </si>
  <si>
    <t>ebc-FA390HH_1.jpg</t>
  </si>
  <si>
    <t>ebc-CK3358_1.jpg</t>
  </si>
  <si>
    <t>ebc-CK3328_1.jpg</t>
  </si>
  <si>
    <t>ebc-FA45_1.jpg</t>
  </si>
  <si>
    <t>ebc-EPFA369/4HH_1.jpg</t>
  </si>
  <si>
    <t>ebc-CSK907_1.jpg</t>
  </si>
  <si>
    <t>ebc-FA57_1.jpg</t>
  </si>
  <si>
    <t>ebc-CSK161_1.jpg</t>
  </si>
  <si>
    <t>ebc-MD6166D_1.jpg</t>
  </si>
  <si>
    <t>ebc-MD6187D_1.jpg</t>
  </si>
  <si>
    <t>ebc-SRC7_1.jpg</t>
  </si>
  <si>
    <t>ebc-MD6382D_1.jpg</t>
  </si>
  <si>
    <t>ebc-FA740X_1.jpg</t>
  </si>
  <si>
    <t>ebc-FA662HH_1.jpg</t>
  </si>
  <si>
    <t>ebc-CK2230_1.jpg</t>
  </si>
  <si>
    <t>ebc-CK2226_1.jpg</t>
  </si>
  <si>
    <t>ebc-MD6237D_1.jpg</t>
  </si>
  <si>
    <t>ebc-CT079SP_1.jpg</t>
  </si>
  <si>
    <t>ebc-CSK28_1.jpg</t>
  </si>
  <si>
    <t>ebc-MD6076D_1.jpg</t>
  </si>
  <si>
    <t>ebc-CK1146_1.jpg</t>
  </si>
  <si>
    <t>ebc-SRC14_1.jpg</t>
  </si>
  <si>
    <t>ebc-FA203HH_1.jpg</t>
  </si>
  <si>
    <t>ebc-FA473V_1.jpg</t>
  </si>
  <si>
    <t>ebc-515_1.jpg</t>
  </si>
  <si>
    <t>ebc-MD882_1.jpg</t>
  </si>
  <si>
    <t>ebc-CSK115_1.jpg</t>
  </si>
  <si>
    <t>ebc-CSK114_1.jpg</t>
  </si>
  <si>
    <t>ebc-FA256HH_1.jpg</t>
  </si>
  <si>
    <t>ebc-CK3364_1.jpg</t>
  </si>
  <si>
    <t>ebc-FA47HH_1.jpg</t>
  </si>
  <si>
    <t>ebc-321_1.jpg</t>
  </si>
  <si>
    <t>ebc-CT013_1.jpg</t>
  </si>
  <si>
    <t>ebc-CK1252_1.jpg</t>
  </si>
  <si>
    <t>ebc-MD6037CX_1.jpg</t>
  </si>
  <si>
    <t>ebc-CSK125_1.jpg</t>
  </si>
  <si>
    <t>ebc-CSK69_1.jpg</t>
  </si>
  <si>
    <t>ebc-FA213_1.jpg</t>
  </si>
  <si>
    <t>ebc-MD6130D_1.jpg</t>
  </si>
  <si>
    <t>ebc-FA145HH_1.jpg</t>
  </si>
  <si>
    <t>ebc-CT054SP_1.jpg</t>
  </si>
  <si>
    <t>ebc-SFA412_1.jpg</t>
  </si>
  <si>
    <t>ebc-FA146V_1.jpg</t>
  </si>
  <si>
    <t>ebc-CT007_1.jpg</t>
  </si>
  <si>
    <t>ebc-MD3097_1.jpg</t>
  </si>
  <si>
    <t>ebc-DRC76S_1.jpg</t>
  </si>
  <si>
    <t>ebc-524_1.jpg</t>
  </si>
  <si>
    <t>ebc-DRC110_1.jpg</t>
  </si>
  <si>
    <t>ebc-CSK97_1.jpg</t>
  </si>
  <si>
    <t>ebc-SFA142HH_1.jpg</t>
  </si>
  <si>
    <t>ebc-CT081SP_1.jpg</t>
  </si>
  <si>
    <t>ebc-CSK11_1.jpg</t>
  </si>
  <si>
    <t>ebc-CK1304_1.jpg</t>
  </si>
  <si>
    <t>ebc-MD520_1.jpg</t>
  </si>
  <si>
    <t>ebc-SMX6309_1.jpg</t>
  </si>
  <si>
    <t>ebc-DRCF262_1.jpg</t>
  </si>
  <si>
    <t>ebc-FA428R_1.jpg</t>
  </si>
  <si>
    <t>ebc-SFA101HH_1.jpg</t>
  </si>
  <si>
    <t>ebc-CSK128_1.jpg</t>
  </si>
  <si>
    <t>ebc-MD607RS_1.jpg</t>
  </si>
  <si>
    <t>ebc-SFA301_1.jpg</t>
  </si>
  <si>
    <t>ebc-SFA353HH_1.jpg</t>
  </si>
  <si>
    <t>ebc-633_1.jpg</t>
  </si>
  <si>
    <t>ebc-SFA283/4HH_1.jpg</t>
  </si>
  <si>
    <t>ebc-SXR657HH_1.jpg</t>
  </si>
  <si>
    <t>ebc-CK2242_1.jpg</t>
  </si>
  <si>
    <t>ebc-MD509SR_1.jpg</t>
  </si>
  <si>
    <t>ebc-FA103_1.jpg</t>
  </si>
  <si>
    <t>ebc-FA446SV_1.jpg</t>
  </si>
  <si>
    <t>ebc-FA344SV_1.jpg</t>
  </si>
  <si>
    <t>ebc-FA380HH_1.jpg</t>
  </si>
  <si>
    <t>ebc-FA137X_1.jpg</t>
  </si>
  <si>
    <t>ebc-FA267HH_1.jpg</t>
  </si>
  <si>
    <t>ebc-FA124/2_1.jpg</t>
  </si>
  <si>
    <t>ebc-CK2375_1.jpg</t>
  </si>
  <si>
    <t>ebc-DRC123_1.jpg</t>
  </si>
  <si>
    <t>ebc-FA215HH_1.jpg</t>
  </si>
  <si>
    <t>ebc-CK5544_1.jpg</t>
  </si>
  <si>
    <t>ebc-FA155X_1.jpg</t>
  </si>
  <si>
    <t>ebc-CSK132_1.jpg</t>
  </si>
  <si>
    <t>ebc-CK4459_1.jpg</t>
  </si>
  <si>
    <t>ebc-FA602X_1.jpg</t>
  </si>
  <si>
    <t>ebc-MD1047LS_1.jpg</t>
  </si>
  <si>
    <t>ebc-MD6040D_1.jpg</t>
  </si>
  <si>
    <t>ebc-MD1171X_1.jpg</t>
  </si>
  <si>
    <t>ebc-MD1020_1.jpg</t>
  </si>
  <si>
    <t>ebc-CK1239_1.jpg</t>
  </si>
  <si>
    <t>ebc-MD602LS_1.jpg</t>
  </si>
  <si>
    <t>ebc-MD6218D_1.jpg</t>
  </si>
  <si>
    <t>ebc-701_1.jpg</t>
  </si>
  <si>
    <t>ebc-MD1134X_1.jpg</t>
  </si>
  <si>
    <t>ebc-CSK174_1.jpg</t>
  </si>
  <si>
    <t>ebc-CKF3318_1.jpg</t>
  </si>
  <si>
    <t>ebc-DRC295_1.jpg</t>
  </si>
  <si>
    <t>ebc-CSK211_1.jpg</t>
  </si>
  <si>
    <t>ebc-717_1.jpg</t>
  </si>
  <si>
    <t>ebc-FA656X_1.jpg</t>
  </si>
  <si>
    <t>ebc-CK1154_1.jpg</t>
  </si>
  <si>
    <t>ebc-SRK53_1.jpg</t>
  </si>
  <si>
    <t>ebc-FA72_1.jpg</t>
  </si>
  <si>
    <t>ebc-CSK176_1.jpg</t>
  </si>
  <si>
    <t>ebc-FA367/2X_1.jpg</t>
  </si>
  <si>
    <t>ebc-FA209/2HH_1.jpg</t>
  </si>
  <si>
    <t>ebc-SFA179_1.jpg</t>
  </si>
  <si>
    <t>ebc-MD6201D_1.jpg</t>
  </si>
  <si>
    <t>ebc-FA423/4HH_1.jpg</t>
  </si>
  <si>
    <t>ebc-CK1230_1.jpg</t>
  </si>
  <si>
    <t>ebc-FA155R_1.jpg</t>
  </si>
  <si>
    <t>ebc-605G_1.jpg</t>
  </si>
  <si>
    <t>ebc-FA36_1.jpg</t>
  </si>
  <si>
    <t>ebc-FA65V_1.jpg</t>
  </si>
  <si>
    <t>ebc-CK1130_1.jpg</t>
  </si>
  <si>
    <t>ebc-508G_1.jpg</t>
  </si>
  <si>
    <t>ebc-MD6312D_1.jpg</t>
  </si>
  <si>
    <t>ebc-MD6395D_1.jpg</t>
  </si>
  <si>
    <t>ebc-CK4424_1.jpg</t>
  </si>
  <si>
    <t>ebc-CK2363_1.jpg</t>
  </si>
  <si>
    <t>ebc-345G_1.jpg</t>
  </si>
  <si>
    <t>ebc-CSK139_1.jpg</t>
  </si>
  <si>
    <t>ebc-DRC62_1.jpg</t>
  </si>
  <si>
    <t>ebc-CFA370_1.jpg</t>
  </si>
  <si>
    <t>ebc-SRC64_1.jpg</t>
  </si>
  <si>
    <t>ebc-FA638HH_1.jpg</t>
  </si>
  <si>
    <t>ebc-FA698_1.jpg</t>
  </si>
  <si>
    <t>ebc-FA676X_1.jpg</t>
  </si>
  <si>
    <t>ebc-FA640V_1.jpg</t>
  </si>
  <si>
    <t>ebc-CSK75_1.jpg</t>
  </si>
  <si>
    <t>ebc-FA388_1.jpg</t>
  </si>
  <si>
    <t>ebc-SRK19_1.jpg</t>
  </si>
  <si>
    <t>ebc-SRC167_1.jpg</t>
  </si>
  <si>
    <t>ebc-FA343_1.jpg</t>
  </si>
  <si>
    <t>ebc-CSK205_1.jpg</t>
  </si>
  <si>
    <t>ebc-MD6425D_1.jpg</t>
  </si>
  <si>
    <t>ebc-MD6028D_1.jpg</t>
  </si>
  <si>
    <t>ebc-340G_1.jpg</t>
  </si>
  <si>
    <t>ebc-FA106V_1.jpg</t>
  </si>
  <si>
    <t>ebc-CK5638_1.jpg</t>
  </si>
  <si>
    <t>ebc-SRK74_1.jpg</t>
  </si>
  <si>
    <t>ebc-FA496HH_1.jpg</t>
  </si>
  <si>
    <t>ebc-SRC85_1.jpg</t>
  </si>
  <si>
    <t>ebc-FA181X_1.jpg</t>
  </si>
  <si>
    <t>ebc-MD6017CX_1.jpg</t>
  </si>
  <si>
    <t>ebc-FA686X_1.jpg</t>
  </si>
  <si>
    <t>ebc-MD6418CX_1.jpg</t>
  </si>
  <si>
    <t>ebc-CKF1191_1.jpg</t>
  </si>
  <si>
    <t>ebc-MD6014D_1.jpg</t>
  </si>
  <si>
    <t>ebc-MD4146_1.jpg</t>
  </si>
  <si>
    <t>ebc-FA131R_1.jpg</t>
  </si>
  <si>
    <t>ebc-GPFAX700HH_1.jpg</t>
  </si>
  <si>
    <t>ebc-FA63_1.jpg</t>
  </si>
  <si>
    <t>ebc-FA375_1.jpg</t>
  </si>
  <si>
    <t>ebc-EPFA390HH_1.jpg</t>
  </si>
  <si>
    <t>ebc-SFA411_1.jpg</t>
  </si>
  <si>
    <t>ebc-MD3104X_1.jpg</t>
  </si>
  <si>
    <t>ebc-FA373R_1.jpg</t>
  </si>
  <si>
    <t>ebc-MD4171C_1.jpg</t>
  </si>
  <si>
    <t>ebc-SRK95_1.jpg</t>
  </si>
  <si>
    <t>ebc-FA199HH_1.jpg</t>
  </si>
  <si>
    <t>ebc-FA192V_1.jpg</t>
  </si>
  <si>
    <t>ebc-FA199V_1.jpg</t>
  </si>
  <si>
    <t>ebc-CT009SP_1.jpg</t>
  </si>
  <si>
    <t>ebc-MD6005D_1.jpg</t>
  </si>
  <si>
    <t>ebc-SRC58_1.jpg</t>
  </si>
  <si>
    <t>ebc-EPFA131HH_1.jpg</t>
  </si>
  <si>
    <t>ebc-605_1.jpg</t>
  </si>
  <si>
    <t>ebc-SRK6_1.jpg</t>
  </si>
  <si>
    <t>ebc-CK5634_1.jpg</t>
  </si>
  <si>
    <t>ebc-DRC159_1.jpg</t>
  </si>
  <si>
    <t>ebc-CT008SP_1.jpg</t>
  </si>
  <si>
    <t>ebc-FA125R_1.jpg</t>
  </si>
  <si>
    <t>ebc-FA710HH_1.jpg</t>
  </si>
  <si>
    <t>ebc-FA254V_1.jpg</t>
  </si>
  <si>
    <t>ebc-FA424HH_1.jpg</t>
  </si>
  <si>
    <t>ebc-DRC142_1.jpg</t>
  </si>
  <si>
    <t>ebc-SFA427HH_1.jpg</t>
  </si>
  <si>
    <t>ebc-CK2319_1.jpg</t>
  </si>
  <si>
    <t>ebc-MD6411D_1.jpg</t>
  </si>
  <si>
    <t>ebc-FA181HH_1.jpg</t>
  </si>
  <si>
    <t>ebc-SFA266HH_1.jpg</t>
  </si>
  <si>
    <t>ebc-343_1.jpg</t>
  </si>
  <si>
    <t>ebc-MD6038D_1.jpg</t>
  </si>
  <si>
    <t>ebc-CSK144_1.jpg</t>
  </si>
  <si>
    <t>ebc-FA617SV_1.jpg</t>
  </si>
  <si>
    <t>ebc-DRC244_1.jpg</t>
  </si>
  <si>
    <t>ebc-341_1.jpg</t>
  </si>
  <si>
    <t>ebc-FA135SV_1.jpg</t>
  </si>
  <si>
    <t>ebc-333_1.jpg</t>
  </si>
  <si>
    <t>ebc-OS6017C_1.jpg</t>
  </si>
  <si>
    <t>ebc-MD682_1.jpg</t>
  </si>
  <si>
    <t>ebc-MD613C_1.jpg</t>
  </si>
  <si>
    <t>ebc-MD614XC_1.jpg</t>
  </si>
  <si>
    <t>ebc-MD621XC_1.jpg</t>
  </si>
  <si>
    <t>ebc-MD632C_1.jpg</t>
  </si>
  <si>
    <t>ebc-MD647XC_1.jpg</t>
  </si>
  <si>
    <t>ebc-MD662XC_1.jpg</t>
  </si>
  <si>
    <t>ebc-MD800XC_1.jpg</t>
  </si>
  <si>
    <t>ebc-MD1003XC_1.jpg</t>
  </si>
  <si>
    <t>ebc-MD1014XC_1.jpg</t>
  </si>
  <si>
    <t>ebc-MD1141XC_1.jpg</t>
  </si>
  <si>
    <t>ebc-MD1153XC_1.jpg</t>
  </si>
  <si>
    <t>ebc-MD1157XC_1.jpg</t>
  </si>
  <si>
    <t>ebc-MD2001XC_1.jpg</t>
  </si>
  <si>
    <t>ebc-MD2074XC_1.jpg</t>
  </si>
  <si>
    <t>ebc-MD2095XC_1.jpg</t>
  </si>
  <si>
    <t>ebc-MD2101XC_1.jpg</t>
  </si>
  <si>
    <t>ebc-MD2105XC_1.jpg</t>
  </si>
  <si>
    <t>ebc-MD2108C_1.jpg</t>
  </si>
  <si>
    <t>ebc-MD2109XC_1.jpg</t>
  </si>
  <si>
    <t>ebc-MD3003XC_1.jpg</t>
  </si>
  <si>
    <t>ebc-MD3007C_1.jpg</t>
  </si>
  <si>
    <t>ebc-MD3090XC_1.jpg</t>
  </si>
  <si>
    <t>ebc-MD3092XC_1.jpg</t>
  </si>
  <si>
    <t>ebc-MD3093C_1.jpg</t>
  </si>
  <si>
    <t>ebc-MD4012XC_1.jpg</t>
  </si>
  <si>
    <t>ebc-MD4013C_1.jpg</t>
  </si>
  <si>
    <t>ebc-MD4136XC_1.jpg</t>
  </si>
  <si>
    <t>ebc-MD6246C_1.jpg</t>
  </si>
  <si>
    <t>ebc-MD6013C_1.jpg</t>
  </si>
  <si>
    <t>ebc-MD6014C_1.jpg</t>
  </si>
  <si>
    <t>ebc-MD6157C_1.jpg</t>
  </si>
  <si>
    <t>ebc-MD6187C_1.jpg</t>
  </si>
  <si>
    <t>ebc-MD6321C_1.jpg</t>
  </si>
  <si>
    <t>ebc-MD6322C_1.jpg</t>
  </si>
  <si>
    <t>ebc-MD6372C_1.jpg</t>
  </si>
  <si>
    <t>ebc-MD6015C_1.jpg</t>
  </si>
  <si>
    <t>ebc-MD6186C_1.jpg</t>
  </si>
  <si>
    <t>ebc-MD6199C_1.jpg</t>
  </si>
  <si>
    <t>ebc-MD6243C_1.jpg</t>
  </si>
  <si>
    <t>ebc-MD6247C_1.jpg</t>
  </si>
  <si>
    <t>ebc-MD6258C_1.jpg</t>
  </si>
  <si>
    <t>ebc-MD6264C_1.jpg</t>
  </si>
  <si>
    <t>ebc-MD6270C_1.jpg</t>
  </si>
  <si>
    <t>ebc-MD6299C_1.jpg</t>
  </si>
  <si>
    <t>ebc-MD6314C_1.jpg</t>
  </si>
  <si>
    <t>ebc-MD6320C_1.jpg</t>
  </si>
  <si>
    <t>ebc-MD6323C_1.jpg</t>
  </si>
  <si>
    <t>ebc-MD6328C_1.jpg</t>
  </si>
  <si>
    <t>ebc-MD6181C_1.jpg</t>
  </si>
  <si>
    <t>ebc-MD6255C_1.jpg</t>
  </si>
  <si>
    <t>ebc-MD6257C_1.jpg</t>
  </si>
  <si>
    <t>ebc-MD6316C_1.jpg</t>
  </si>
  <si>
    <t>ebc-MD6319C_1.jpg</t>
  </si>
  <si>
    <t>ebc-MD6326C_1.jpg</t>
  </si>
  <si>
    <t>ebc-MD6327C_1.jpg</t>
  </si>
  <si>
    <t>ebc-MD6352C_1.jpg</t>
  </si>
  <si>
    <t>ebc-MD633XC_1.jpg</t>
  </si>
  <si>
    <t>ebc-MD648C_1.jpg</t>
  </si>
  <si>
    <t>ebc-MD652C_1.jpg</t>
  </si>
  <si>
    <t>ebc-MD653C_1.jpg</t>
  </si>
  <si>
    <t>ebc-MD694XC_1.jpg</t>
  </si>
  <si>
    <t>ebc-MD1138XC_1.jpg</t>
  </si>
  <si>
    <t>ebc-MD2086C_1.jpg</t>
  </si>
  <si>
    <t>ebc-MD2091C_1.jpg</t>
  </si>
  <si>
    <t>ebc-MD2093C_1.jpg</t>
  </si>
  <si>
    <t>ebc-MD2094XC_1.jpg</t>
  </si>
  <si>
    <t>ebc-MD3006XC_1.jpg</t>
  </si>
  <si>
    <t>ebc-MD3088XC_1.jpg</t>
  </si>
  <si>
    <t>ebc-MD4022XC_1.jpg</t>
  </si>
  <si>
    <t>ebc-MD4023C_1.jpg</t>
  </si>
  <si>
    <t>ebc-MD4133C_1.jpg</t>
  </si>
  <si>
    <t>ebc-MD4138C_1.jpg</t>
  </si>
  <si>
    <t>ebc-MD4151XC_1.jpg</t>
  </si>
  <si>
    <t>ebc-MD4154XC_1.jpg</t>
  </si>
  <si>
    <t>ebc-MD4157C_1.jpg</t>
  </si>
  <si>
    <t>ebc-MD4159XC_1.jpg</t>
  </si>
  <si>
    <t>ebc-FA140_1.jpg</t>
  </si>
  <si>
    <t>ebc-FA258X_1.jpg</t>
  </si>
  <si>
    <t>ebc-DRC208_1.jpg</t>
  </si>
  <si>
    <t>ebc-MD651_1.jpg</t>
  </si>
  <si>
    <t>ebc-DRCF98_1.jpg</t>
  </si>
  <si>
    <t>ebc-EPFA417/4HH_1.jpg</t>
  </si>
  <si>
    <t>ebc-CSK96_1.jpg</t>
  </si>
  <si>
    <t>ebc-MD3088X_1.jpg</t>
  </si>
  <si>
    <t>ebc-MD6032D_1.jpg</t>
  </si>
  <si>
    <t>ebc-FA463R_1.jpg</t>
  </si>
  <si>
    <t>ebc-FA675X_1.jpg</t>
  </si>
  <si>
    <t>ebc-CSK112_1.jpg</t>
  </si>
  <si>
    <t>ebc-DRC116_1.jpg</t>
  </si>
  <si>
    <t>ebc-MD6252D_1.jpg</t>
  </si>
  <si>
    <t>ebc-FA366V_1.jpg</t>
  </si>
  <si>
    <t>ebc-FA265HH_1.jpg</t>
  </si>
  <si>
    <t>ebc-FA174V_1.jpg</t>
  </si>
  <si>
    <t>ebc-FA173_1.jpg</t>
  </si>
  <si>
    <t>ebc-MD6191CX_1.jpg</t>
  </si>
  <si>
    <t>ebc-CK1152_1.jpg</t>
  </si>
  <si>
    <t>ebc-CK4469_1.jpg</t>
  </si>
  <si>
    <t>ebc-CSK22_1.jpg</t>
  </si>
  <si>
    <t>ebc-CK4518_1.jpg</t>
  </si>
  <si>
    <t>ebc-FA121HH_1.jpg</t>
  </si>
  <si>
    <t>ebc-CK3452_1.jpg</t>
  </si>
  <si>
    <t>ebc-FA726SV_1.jpg</t>
  </si>
  <si>
    <t>ebc-MD3090X_1.jpg</t>
  </si>
  <si>
    <t>ebc-DRC31_1.jpg</t>
  </si>
  <si>
    <t>ebc-FA343HH_1.jpg</t>
  </si>
  <si>
    <t>ebc-FA642SV-OLD_1.jpg</t>
  </si>
  <si>
    <t>ebc-DRC107_1.jpg</t>
  </si>
  <si>
    <t>ebc-SFA388HH_1.jpg</t>
  </si>
  <si>
    <t>ebc-CK5589_1.jpg</t>
  </si>
  <si>
    <t>ebc-CFA616_1.jpg</t>
  </si>
  <si>
    <t>ebc-CSK179_1.jpg</t>
  </si>
  <si>
    <t>ebc-DRC139_1.jpg</t>
  </si>
  <si>
    <t>ebc-SRK11_1.jpg</t>
  </si>
  <si>
    <t>ebc-SRC88_1.jpg</t>
  </si>
  <si>
    <t>ebc-CK3435_1.jpg</t>
  </si>
  <si>
    <t>ebc-MD6001C_1.jpg</t>
  </si>
  <si>
    <t>ebc-MD6005C_1.jpg</t>
  </si>
  <si>
    <t>ebc-MD6004D_1.jpg</t>
  </si>
  <si>
    <t>ebc-MD6009D_1.jpg</t>
  </si>
  <si>
    <t>ebc-MD6011D_1.jpg</t>
  </si>
  <si>
    <t>ebc-MD6012D_1.jpg</t>
  </si>
  <si>
    <t>ebc-MD6015D_1.jpg</t>
  </si>
  <si>
    <t>ebc-MD6016D_1.jpg</t>
  </si>
  <si>
    <t>ebc-MD6018D_1.jpg</t>
  </si>
  <si>
    <t>ebc-MD6020D_1.jpg</t>
  </si>
  <si>
    <t>ebc-MD6025D_1.jpg</t>
  </si>
  <si>
    <t>ebc-MD6026D_1.jpg</t>
  </si>
  <si>
    <t>ebc-MD6027D_1.jpg</t>
  </si>
  <si>
    <t>ebc-MD6029D_1.jpg</t>
  </si>
  <si>
    <t>ebc-MD6031D_1.jpg</t>
  </si>
  <si>
    <t>ebc-MD6197D_1.jpg</t>
  </si>
  <si>
    <t>ebc-MD6206D_1.jpg</t>
  </si>
  <si>
    <t>ebc-MD6210D_1.jpg</t>
  </si>
  <si>
    <t>ebc-MD6212D_1.jpg</t>
  </si>
  <si>
    <t>ebc-MD6219D_1.jpg</t>
  </si>
  <si>
    <t>ebc-MD6224D_1.jpg</t>
  </si>
  <si>
    <t>ebc-MD6228D_1.jpg</t>
  </si>
  <si>
    <t>ebc-MD6229D_1.jpg</t>
  </si>
  <si>
    <t>ebc-MD6261D_1.jpg</t>
  </si>
  <si>
    <t>ebc-MD6262D_1.jpg</t>
  </si>
  <si>
    <t>ebc-MD6267D_1.jpg</t>
  </si>
  <si>
    <t>ebc-MD6268D_1.jpg</t>
  </si>
  <si>
    <t>ebc-MD6272D_1.jpg</t>
  </si>
  <si>
    <t>ebc-MD6277D_1.jpg</t>
  </si>
  <si>
    <t>ebc-MD6282D_1.jpg</t>
  </si>
  <si>
    <t>ebc-MD6285D_1.jpg</t>
  </si>
  <si>
    <t>ebc-MD6290D_1.jpg</t>
  </si>
  <si>
    <t>ebc-MD6302D_1.jpg</t>
  </si>
  <si>
    <t>ebc-MD6311D_1.jpg</t>
  </si>
  <si>
    <t>ebc-MD6331D_1.jpg</t>
  </si>
  <si>
    <t>ebc-MD6337D_1.jpg</t>
  </si>
  <si>
    <t>ebc-MD6341D_1.jpg</t>
  </si>
  <si>
    <t>ebc-MD6365D_1.jpg</t>
  </si>
  <si>
    <t>ebc-MD6314D_1.jpg</t>
  </si>
  <si>
    <t>ebc-MD6332D_1.jpg</t>
  </si>
  <si>
    <t>ebc-CSK183_1.jpg</t>
  </si>
  <si>
    <t>ebc-MD6264D_1.jpg</t>
  </si>
  <si>
    <t>ebc-SRK46_1.jpg</t>
  </si>
  <si>
    <t>ebc-FA189HH_1.jpg</t>
  </si>
  <si>
    <t>ebc-CT056SP_1.jpg</t>
  </si>
  <si>
    <t>ebc-MXS84_1.jpg</t>
  </si>
  <si>
    <t>ebc-MD4082_1.jpg</t>
  </si>
  <si>
    <t>ebc-CK5665_1.jpg</t>
  </si>
  <si>
    <t>ebc-MD1152XC_1.jpg</t>
  </si>
  <si>
    <t>ebc-FA159X_1.jpg</t>
  </si>
  <si>
    <t>ebc-MD4172C_1.jpg</t>
  </si>
  <si>
    <t>ebc-FA111R_1.jpg</t>
  </si>
  <si>
    <t>ebc-CK1180_1.jpg</t>
  </si>
  <si>
    <t>ebc-FA54SV_1.jpg</t>
  </si>
  <si>
    <t>ebc-CFA493_1.jpg</t>
  </si>
  <si>
    <t>ebc-OS6028C_1.jpg</t>
  </si>
  <si>
    <t>ebc-FA454/4HH_1.jpg</t>
  </si>
  <si>
    <t>ebc-MD1152X_1.jpg</t>
  </si>
  <si>
    <t>ebc-MD6017D_1.jpg</t>
  </si>
  <si>
    <t>ebc-SFA101_1.jpg</t>
  </si>
  <si>
    <t>ebc-FA124/2HH_1.jpg</t>
  </si>
  <si>
    <t>ebc-524G_1.jpg</t>
  </si>
  <si>
    <t>ebc-FA140V_1.jpg</t>
  </si>
  <si>
    <t>ebc-860_1.jpg</t>
  </si>
  <si>
    <t>ebc-933G_1.jpg</t>
  </si>
  <si>
    <t>ebc-MXS405_1.jpg</t>
  </si>
  <si>
    <t>ebc-FA95V_1.jpg</t>
  </si>
  <si>
    <t>ebc-FA31_1.jpg</t>
  </si>
  <si>
    <t>ebc-CT011_1.jpg</t>
  </si>
  <si>
    <t>ebc-FA106_1.jpg</t>
  </si>
  <si>
    <t>ebc-MD3078RS_1.jpg</t>
  </si>
  <si>
    <t>ebc-FA680R_1.jpg</t>
  </si>
  <si>
    <t>ebc-MD1004_1.jpg</t>
  </si>
  <si>
    <t>ebc-CK3451_1.jpg</t>
  </si>
  <si>
    <t>ebc-DRCF230_1.jpg</t>
  </si>
  <si>
    <t>ebc-SRK107_1.jpg</t>
  </si>
  <si>
    <t>ebc-MCD-TWIN_1.jpg</t>
  </si>
  <si>
    <t>ebc-MLF-TWIN_1.jpg</t>
  </si>
  <si>
    <t>ebc-MD529_1.jpg</t>
  </si>
  <si>
    <t>ebc-FA400VLD_1.jpg</t>
  </si>
  <si>
    <t>ebc-SRK115_1.jpg</t>
  </si>
  <si>
    <t>ebc-MD4010LS_1.jpg</t>
  </si>
  <si>
    <t>ebc-FA656R_1.jpg</t>
  </si>
  <si>
    <t>ebc-DRC122_1.jpg</t>
  </si>
  <si>
    <t>ebc-DRC92_1.jpg</t>
  </si>
  <si>
    <t>ebc-FA266_1.jpg</t>
  </si>
  <si>
    <t>ebc-FA641/4V_1.jpg</t>
  </si>
  <si>
    <t>ebc-FA475X_1.jpg</t>
  </si>
  <si>
    <t>ebc-MD6338D_1.jpg</t>
  </si>
  <si>
    <t>ebc-330_1.jpg</t>
  </si>
  <si>
    <t>ebc-FA137SV_1.jpg</t>
  </si>
  <si>
    <t>ebc-MD2074X_1.jpg</t>
  </si>
  <si>
    <t>ebc-MD6124D_1.jpg</t>
  </si>
  <si>
    <t>ebc-MD6376D_1.jpg</t>
  </si>
  <si>
    <t>ebc-DRC227_1.jpg</t>
  </si>
  <si>
    <t>ebc-MD4162C_1.jpg</t>
  </si>
  <si>
    <t>ebc-SRC53_1.jpg</t>
  </si>
  <si>
    <t>ebc-BF004_1.jpg</t>
  </si>
  <si>
    <t>ebc-MD3079_1.jpg</t>
  </si>
  <si>
    <t>ebc-DRC185_1.jpg</t>
  </si>
  <si>
    <t>ebc-FA490R_1.jpg</t>
  </si>
  <si>
    <t>ebc-MD6077D_1.jpg</t>
  </si>
  <si>
    <t>ebc-CT009_1.jpg</t>
  </si>
  <si>
    <t>ebc-FA251_1.jpg</t>
  </si>
  <si>
    <t>ebc-622_1.jpg</t>
  </si>
  <si>
    <t>ebc-CT010_1.jpg</t>
  </si>
  <si>
    <t>ebc-DRC13_1.jpg</t>
  </si>
  <si>
    <t>ebc-CK3329_1.jpg</t>
  </si>
  <si>
    <t>ebc-MD6271D_1.jpg</t>
  </si>
  <si>
    <t>ebc-501_1.jpg</t>
  </si>
  <si>
    <t>ebc-DRC115_1.jpg</t>
  </si>
  <si>
    <t>ebc-CSK118_1.jpg</t>
  </si>
  <si>
    <t>ebc-EPFA335HH_1.jpg</t>
  </si>
  <si>
    <t>ebc-SRK84_1.jpg</t>
  </si>
  <si>
    <t>ebc-FA77_1.jpg</t>
  </si>
  <si>
    <t>ebc-CK2313_1.jpg</t>
  </si>
  <si>
    <t>ebc-DRC33_1.jpg</t>
  </si>
  <si>
    <t>ebc-SRC11_1.jpg</t>
  </si>
  <si>
    <t>ebc-618_1.jpg</t>
  </si>
  <si>
    <t>ebc-MD519_1.jpg</t>
  </si>
  <si>
    <t>ebc-SFA83HH_1.jpg</t>
  </si>
  <si>
    <t>ebc-FA18V_1.jpg</t>
  </si>
  <si>
    <t>ebc-MXS208_1.jpg</t>
  </si>
  <si>
    <t>ebc-FA355_1.jpg</t>
  </si>
  <si>
    <t>ebc-FA618X_1.jpg</t>
  </si>
  <si>
    <t>ebc-327_1.jpg</t>
  </si>
  <si>
    <t>ebc-FA119X_1.jpg</t>
  </si>
  <si>
    <t>ebc-FA228_1.jpg</t>
  </si>
  <si>
    <t>ebc-MD6249C_1.jpg</t>
  </si>
  <si>
    <t>ebc-MD6055D_1.jpg</t>
  </si>
  <si>
    <t>ebc-346G_1.jpg</t>
  </si>
  <si>
    <t>ebc-FA229_1.jpg</t>
  </si>
  <si>
    <t>ebc-SFA169HH_1.jpg</t>
  </si>
  <si>
    <t>ebc-MD6132D_1.jpg</t>
  </si>
  <si>
    <t>ebc-FA747SV_1.jpg</t>
  </si>
  <si>
    <t>ebc-CK3447_1.jpg</t>
  </si>
  <si>
    <t>ebc-MD6246D_1.jpg</t>
  </si>
  <si>
    <t>ebc-MD6373C_1.jpg</t>
  </si>
  <si>
    <t>ebc-FA474V_1.jpg</t>
  </si>
  <si>
    <t>ebc-SXR452HH_1.jpg</t>
  </si>
  <si>
    <t>ebc-347G_1.jpg</t>
  </si>
  <si>
    <t>ebc-DRC256_1.jpg</t>
  </si>
  <si>
    <t>ebc-FA201HH_1.jpg</t>
  </si>
  <si>
    <t>ebc-CK2273_1.jpg</t>
  </si>
  <si>
    <t>ebc-CK2255_1.jpg</t>
  </si>
  <si>
    <t>ebc-DRC41_1.jpg</t>
  </si>
  <si>
    <t>ebc-MD1082_1.jpg</t>
  </si>
  <si>
    <t>ebc-FA67X_1.jpg</t>
  </si>
  <si>
    <t>ebc-FA369/4HH_1.jpg</t>
  </si>
  <si>
    <t>ebc-FA651SV_1.jpg</t>
  </si>
  <si>
    <t>ebc-DRC136_1.jpg</t>
  </si>
  <si>
    <t>ebc-FA146HH_1.jpg</t>
  </si>
  <si>
    <t>ebc-FA714SV_1.jpg</t>
  </si>
  <si>
    <t>ebc-MD1030_1.jpg</t>
  </si>
  <si>
    <t>ebc-SXR307HH_1.jpg</t>
  </si>
  <si>
    <t>ebc-532G_1.jpg</t>
  </si>
  <si>
    <t>ebc-MD6230D_1.jpg</t>
  </si>
  <si>
    <t>ebc-MD6157D_1.jpg</t>
  </si>
  <si>
    <t>ebc-MD6399D_1.jpg</t>
  </si>
  <si>
    <t>ebc-FA703SV_1.jpg</t>
  </si>
  <si>
    <t>ebc-MD3002C_1.jpg</t>
  </si>
  <si>
    <t>ebc-FA159R_1.jpg</t>
  </si>
  <si>
    <t>ebc-MD6035C_1.jpg</t>
  </si>
  <si>
    <t>ebc-FA214HH_1.jpg</t>
  </si>
  <si>
    <t>ebc-CSK64_1.jpg</t>
  </si>
  <si>
    <t>ebc-FA475R_1.jpg</t>
  </si>
  <si>
    <t>ebc-DRC274_1.jpg</t>
  </si>
  <si>
    <t>ebc-DRC304_1.jpg</t>
  </si>
  <si>
    <t>ebc-MD1167RS_1.jpg</t>
  </si>
  <si>
    <t>ebc-MD3039LS_1.jpg</t>
  </si>
  <si>
    <t>ebc-306_1.jpg</t>
  </si>
  <si>
    <t>ebc-DRC179_1.jpg</t>
  </si>
  <si>
    <t>ebc-CK2325_1.jpg</t>
  </si>
  <si>
    <t>ebc-MD602RS_1.jpg</t>
  </si>
  <si>
    <t>ebc-EPFA409HH_1.jpg</t>
  </si>
  <si>
    <t>ebc-FA258R_1.jpg</t>
  </si>
  <si>
    <t>ebc-MD6149D_1.jpg</t>
  </si>
  <si>
    <t>ebc-FA409_1.jpg</t>
  </si>
  <si>
    <t>ebc-CK1150_1.jpg</t>
  </si>
  <si>
    <t>ebc-SFA427_1.jpg</t>
  </si>
  <si>
    <t>ebc-CSK910_1.jpg</t>
  </si>
  <si>
    <t>ebc-MD6316D_1.jpg</t>
  </si>
  <si>
    <t>ebc-FA441HH_1.jpg</t>
  </si>
  <si>
    <t>ebc-FA209/2V_1.jpg</t>
  </si>
  <si>
    <t>ebc-CK5595_1.jpg</t>
  </si>
  <si>
    <t>ebc-FA63HH_1.jpg</t>
  </si>
  <si>
    <t>ebc-FA685R_1.jpg</t>
  </si>
  <si>
    <t>ebc-FA270R_1.jpg</t>
  </si>
  <si>
    <t>ebc-CK4446_1.jpg</t>
  </si>
  <si>
    <t>ebc-CK1313_1.jpg</t>
  </si>
  <si>
    <t>ebc-MD6387D_1.jpg</t>
  </si>
  <si>
    <t>ebc-FA83X_1.jpg</t>
  </si>
  <si>
    <t>ebc-MD834X_1.jpg</t>
  </si>
  <si>
    <t>ebc-CT013SP_1.jpg</t>
  </si>
  <si>
    <t>ebc-CK3466_1.jpg</t>
  </si>
  <si>
    <t>ebc-SFA705HH_1.jpg</t>
  </si>
  <si>
    <t>ebc-FA409VLD_1.jpg</t>
  </si>
  <si>
    <t>ebc-MD525_1.jpg</t>
  </si>
  <si>
    <t>ebc-CK3400_1.jpg</t>
  </si>
  <si>
    <t>ebc-CK4455_1.jpg</t>
  </si>
  <si>
    <t>ebc-FA610SV_1.jpg</t>
  </si>
  <si>
    <t>ebc-CK4522_1.jpg</t>
  </si>
  <si>
    <t>ebc-FA22_1.jpg</t>
  </si>
  <si>
    <t>ebc-CK4440_1.jpg</t>
  </si>
  <si>
    <t>ebc-SFA356_1.jpg</t>
  </si>
  <si>
    <t>ebc-SRC121_1.jpg</t>
  </si>
  <si>
    <t>ebc-506G_1.jpg</t>
  </si>
  <si>
    <t>ebc-304_1.jpg</t>
  </si>
  <si>
    <t>ebc-CK1221_1.jpg</t>
  </si>
  <si>
    <t>ebc-MD9168D_1.jpg</t>
  </si>
  <si>
    <t>ebc-MD2130C_1.jpg</t>
  </si>
  <si>
    <t>ebc-MD6190D_1.jpg</t>
  </si>
  <si>
    <t>ebc-MD6032CX_1.jpg</t>
  </si>
  <si>
    <t>ebc-FA629HH_1.jpg</t>
  </si>
  <si>
    <t>ebc-CSK180_1.jpg</t>
  </si>
  <si>
    <t>ebc-FA69/3V_1.jpg</t>
  </si>
  <si>
    <t>ebc-MD6366D_1.jpg</t>
  </si>
  <si>
    <t>ebc-MD653_1.jpg</t>
  </si>
  <si>
    <t>ebc-CSK903_1.jpg</t>
  </si>
  <si>
    <t>ebc-FA674X_1.jpg</t>
  </si>
  <si>
    <t>ebc-FA443R_1.jpg</t>
  </si>
  <si>
    <t>ebc-528G_1.jpg</t>
  </si>
  <si>
    <t>ebc-FA124_1.jpg</t>
  </si>
  <si>
    <t>ebc-MD4010RS_1.jpg</t>
  </si>
  <si>
    <t>ebc-FA452R_1.jpg</t>
  </si>
  <si>
    <t>ebc-SRC144_1.jpg</t>
  </si>
  <si>
    <t>ebc-FA270X_1.jpg</t>
  </si>
  <si>
    <t>ebc-CT030_1.jpg</t>
  </si>
  <si>
    <t>ebc-FA128X_1.jpg</t>
  </si>
  <si>
    <t>ebc-MD1078_1.jpg</t>
  </si>
  <si>
    <t>ebc-CK1206_1.jpg</t>
  </si>
  <si>
    <t>ebc-CT020_1.jpg</t>
  </si>
  <si>
    <t>ebc-FA24/2V_1.jpg</t>
  </si>
  <si>
    <t>ebc-312_1.jpg</t>
  </si>
  <si>
    <t>ebc-CK2205_1.jpg</t>
  </si>
  <si>
    <t>ebc-FA215/2HH_1.jpg</t>
  </si>
  <si>
    <t>ebc-MD1176X_1.jpg</t>
  </si>
  <si>
    <t>ebc-MD6083D_1.jpg</t>
  </si>
  <si>
    <t>ebc-SFA47HH_1.jpg</t>
  </si>
  <si>
    <t>ebc-MD3100XC_1.jpg</t>
  </si>
  <si>
    <t>ebc-MD6195D_1.jpg</t>
  </si>
  <si>
    <t>ebc-FA86_1.jpg</t>
  </si>
  <si>
    <t>ebc-MXS135_1.jpg</t>
  </si>
  <si>
    <t>ebc-FA703X_1.jpg</t>
  </si>
  <si>
    <t>ebc-FA142_1.jpg</t>
  </si>
  <si>
    <t>ebc-FA444R_1.jpg</t>
  </si>
  <si>
    <t>ebc-FA32_1.jpg</t>
  </si>
  <si>
    <t>ebc-DRC23_1.jpg</t>
  </si>
  <si>
    <t>ebc-CK2297_1.jpg</t>
  </si>
  <si>
    <t>ebc-FA606HH_1.jpg</t>
  </si>
  <si>
    <t>ebc-FA30_1.jpg</t>
  </si>
  <si>
    <t>ebc-RSD019BLK_1.jpg</t>
  </si>
  <si>
    <t>ebc-FA57V_1.jpg</t>
  </si>
  <si>
    <t>ebc-FA171V_1.jpg</t>
  </si>
  <si>
    <t>ebc-FA157X_1.jpg</t>
  </si>
  <si>
    <t>ebc-SFA281HH_1.jpg</t>
  </si>
  <si>
    <t>ebc-SFA603_1.jpg</t>
  </si>
  <si>
    <t>ebc-CSK15_1.jpg</t>
  </si>
  <si>
    <t>ebc-MD2003XC_1.jpg</t>
  </si>
  <si>
    <t>ebc-FA419HH_1.jpg</t>
  </si>
  <si>
    <t>ebc-CT036SP_1.jpg</t>
  </si>
  <si>
    <t>ebc-CK2358_1.jpg</t>
  </si>
  <si>
    <t>ebc-CSK38_1.jpg</t>
  </si>
  <si>
    <t>ebc-FA208X_1.jpg</t>
  </si>
  <si>
    <t>ebc-CKF2254_1.jpg</t>
  </si>
  <si>
    <t>ebc-706_1.jpg</t>
  </si>
  <si>
    <t>ebc-FA69/3_1.jpg</t>
  </si>
  <si>
    <t>ebc-FA197HH_1.jpg</t>
  </si>
  <si>
    <t>ebc-811G_1.jpg</t>
  </si>
  <si>
    <t>ebc-MD4085_1.jpg</t>
  </si>
  <si>
    <t>ebc-MD2002_1.jpg</t>
  </si>
  <si>
    <t>ebc-MD3008C_1.jpg</t>
  </si>
  <si>
    <t>ebc-DRC72_1.jpg</t>
  </si>
  <si>
    <t>ebc-MD6305C_1.jpg</t>
  </si>
  <si>
    <t>ebc-SRK51_1.jpg</t>
  </si>
  <si>
    <t>ebc-FA419_1.jpg</t>
  </si>
  <si>
    <t>ebc-CK3374_1.jpg</t>
  </si>
  <si>
    <t>ebc-EPFA491HH_1.jpg</t>
  </si>
  <si>
    <t>ebc-FA185X_1.jpg</t>
  </si>
  <si>
    <t>ebc-FA465R_1.jpg</t>
  </si>
  <si>
    <t>ebc-FA395R_1.jpg</t>
  </si>
  <si>
    <t>ebc-CSK162_1.jpg</t>
  </si>
  <si>
    <t>ebc-536_1.jpg</t>
  </si>
  <si>
    <t>ebc-CK1314_1.jpg</t>
  </si>
  <si>
    <t>ebc-CK3443_1.jpg</t>
  </si>
  <si>
    <t>ebc-FA671V_1.jpg</t>
  </si>
  <si>
    <t>ebc-MXS346_1.jpg</t>
  </si>
  <si>
    <t>ebc-CKF4435_1.jpg</t>
  </si>
  <si>
    <t>ebc-FA232SV_1.jpg</t>
  </si>
  <si>
    <t>ebc-CK3377_1.jpg</t>
  </si>
  <si>
    <t>ebc-714_1.jpg</t>
  </si>
  <si>
    <t>ebc-FA347HH_1.jpg</t>
  </si>
  <si>
    <t>ebc-CK5608_1.jpg</t>
  </si>
  <si>
    <t>ebc-FA68HH_1.jpg</t>
  </si>
  <si>
    <t>ebc-FA381HH_1.jpg</t>
  </si>
  <si>
    <t>ebc-MD4027_1.jpg</t>
  </si>
  <si>
    <t>ebc-MD3098XC_1.jpg</t>
  </si>
  <si>
    <t>ebc-MD3099C_1.jpg</t>
  </si>
  <si>
    <t>ebc-MD6037C_1.jpg</t>
  </si>
  <si>
    <t>ebc-MD3042LS_1.jpg</t>
  </si>
  <si>
    <t>ebc-MD3042RS_1.jpg</t>
  </si>
  <si>
    <t>ebc-MD2095X_1.jpg</t>
  </si>
  <si>
    <t>ebc-MD603RS_1.jpg</t>
  </si>
  <si>
    <t>ebc-MD605RS_1.jpg</t>
  </si>
  <si>
    <t>ebc-MD614X_1.jpg</t>
  </si>
  <si>
    <t>ebc-MD621X_1.jpg</t>
  </si>
  <si>
    <t>ebc-MD622X_1.jpg</t>
  </si>
  <si>
    <t>ebc-MD626X_1.jpg</t>
  </si>
  <si>
    <t>ebc-MD633X_1.jpg</t>
  </si>
  <si>
    <t>ebc-MD636X_1.jpg</t>
  </si>
  <si>
    <t>ebc-MD640_1.jpg</t>
  </si>
  <si>
    <t>ebc-MD641_1.jpg</t>
  </si>
  <si>
    <t>ebc-MD645_1.jpg</t>
  </si>
  <si>
    <t>ebc-MD647X_1.jpg</t>
  </si>
  <si>
    <t>ebc-MD662X_1.jpg</t>
  </si>
  <si>
    <t>ebc-MD666X_1.jpg</t>
  </si>
  <si>
    <t>ebc-MD669X_1.jpg</t>
  </si>
  <si>
    <t>ebc-MD690_1.jpg</t>
  </si>
  <si>
    <t>ebc-MD694X_1.jpg</t>
  </si>
  <si>
    <t>ebc-MD699_1.jpg</t>
  </si>
  <si>
    <t>ebc-MD714RD_1.jpg</t>
  </si>
  <si>
    <t>ebc-MD800X_1.jpg</t>
  </si>
  <si>
    <t>ebc-MD804_1.jpg</t>
  </si>
  <si>
    <t>ebc-MD998D_1.jpg</t>
  </si>
  <si>
    <t>ebc-MD1001_1.jpg</t>
  </si>
  <si>
    <t>ebc-MD1007_1.jpg</t>
  </si>
  <si>
    <t>ebc-MD1010RS_1.jpg</t>
  </si>
  <si>
    <t>ebc-MD1021RS_1.jpg</t>
  </si>
  <si>
    <t>ebc-MD1036RS_1.jpg</t>
  </si>
  <si>
    <t>ebc-MD1040LS_1.jpg</t>
  </si>
  <si>
    <t>ebc-MD1040RS_1.jpg</t>
  </si>
  <si>
    <t>ebc-MD1041LS_1.jpg</t>
  </si>
  <si>
    <t>ebc-MD1052LS_1.jpg</t>
  </si>
  <si>
    <t>ebc-MD1056_1.jpg</t>
  </si>
  <si>
    <t>ebc-MD1071_1.jpg</t>
  </si>
  <si>
    <t>ebc-MD1079_1.jpg</t>
  </si>
  <si>
    <t>ebc-MD1083RS_1.jpg</t>
  </si>
  <si>
    <t>ebc-MD1133_1.jpg</t>
  </si>
  <si>
    <t>ebc-MD1134XC_1.jpg</t>
  </si>
  <si>
    <t>ebc-MD1153X_1.jpg</t>
  </si>
  <si>
    <t>ebc-MD1158RS_1.jpg</t>
  </si>
  <si>
    <t>ebc-MD1161X_1.jpg</t>
  </si>
  <si>
    <t>ebc-MD1183_1.jpg</t>
  </si>
  <si>
    <t>ebc-MD2003X_1.jpg</t>
  </si>
  <si>
    <t>ebc-MD2019LS_1.jpg</t>
  </si>
  <si>
    <t>ebc-MD2019RS_1.jpg</t>
  </si>
  <si>
    <t>ebc-MD2023LS_1.jpg</t>
  </si>
  <si>
    <t>ebc-MD2031LS_1.jpg</t>
  </si>
  <si>
    <t>ebc-MD2049_1.jpg</t>
  </si>
  <si>
    <t>ebc-MD2067RS_1.jpg</t>
  </si>
  <si>
    <t>ebc-MD2069_1.jpg</t>
  </si>
  <si>
    <t>ebc-MD2082X_1.jpg</t>
  </si>
  <si>
    <t>ebc-MD2089X_1.jpg</t>
  </si>
  <si>
    <t>ebc-MD2094X_1.jpg</t>
  </si>
  <si>
    <t>ebc-MD2101X_1.jpg</t>
  </si>
  <si>
    <t>ebc-MD2102X_1.jpg</t>
  </si>
  <si>
    <t>ebc-MD2105X_1.jpg</t>
  </si>
  <si>
    <t>ebc-MD3002_1.jpg</t>
  </si>
  <si>
    <t>ebc-MD3007_1.jpg</t>
  </si>
  <si>
    <t>ebc-MD3009_1.jpg</t>
  </si>
  <si>
    <t>ebc-MD3014RS_1.jpg</t>
  </si>
  <si>
    <t>ebc-MD3017LS_1.jpg</t>
  </si>
  <si>
    <t>ebc-MD3019LS_1.jpg</t>
  </si>
  <si>
    <t>ebc-MD3022LS_1.jpg</t>
  </si>
  <si>
    <t>ebc-MD3027_1.jpg</t>
  </si>
  <si>
    <t>ebc-MD3032LS_1.jpg</t>
  </si>
  <si>
    <t>ebc-MD3033LS_1.jpg</t>
  </si>
  <si>
    <t>ebc-MD3036_1.jpg</t>
  </si>
  <si>
    <t>ebc-MD3037LS_1.jpg</t>
  </si>
  <si>
    <t>ebc-MD3037RS_1.jpg</t>
  </si>
  <si>
    <t>ebc-MD3038_1.jpg</t>
  </si>
  <si>
    <t>ebc-MD3041_1.jpg</t>
  </si>
  <si>
    <t>ebc-MD3043_1.jpg</t>
  </si>
  <si>
    <t>ebc-MD3061_1.jpg</t>
  </si>
  <si>
    <t>ebc-MD3089X_1.jpg</t>
  </si>
  <si>
    <t>ebc-MD3092X_1.jpg</t>
  </si>
  <si>
    <t>ebc-MD3093_1.jpg</t>
  </si>
  <si>
    <t>ebc-MD3099_1.jpg</t>
  </si>
  <si>
    <t>ebc-MD4006LS_1.jpg</t>
  </si>
  <si>
    <t>ebc-MD4006RS_1.jpg</t>
  </si>
  <si>
    <t>ebc-MD4008_1.jpg</t>
  </si>
  <si>
    <t>ebc-MD4012X_1.jpg</t>
  </si>
  <si>
    <t>ebc-MD4015_1.jpg</t>
  </si>
  <si>
    <t>ebc-MD4023_1.jpg</t>
  </si>
  <si>
    <t>ebc-MD4024_1.jpg</t>
  </si>
  <si>
    <t>ebc-MD4041RS_1.jpg</t>
  </si>
  <si>
    <t>ebc-MD4052LS_1.jpg</t>
  </si>
  <si>
    <t>ebc-MD4062_1.jpg</t>
  </si>
  <si>
    <t>ebc-MD4077_1.jpg</t>
  </si>
  <si>
    <t>ebc-MD4094LS_1.jpg</t>
  </si>
  <si>
    <t>ebc-MD4141X_1.jpg</t>
  </si>
  <si>
    <t>ebc-MD4142_1.jpg</t>
  </si>
  <si>
    <t>ebc-MD4150_1.jpg</t>
  </si>
  <si>
    <t>ebc-MD4151X_1.jpg</t>
  </si>
  <si>
    <t>ebc-MD4153X_1.jpg</t>
  </si>
  <si>
    <t>ebc-MD4154X_1.jpg</t>
  </si>
  <si>
    <t>ebc-MD6034D_1.jpg</t>
  </si>
  <si>
    <t>ebc-MD6036D_1.jpg</t>
  </si>
  <si>
    <t>ebc-MD6046D_1.jpg</t>
  </si>
  <si>
    <t>ebc-MD6050D_1.jpg</t>
  </si>
  <si>
    <t>ebc-MD6073D_1.jpg</t>
  </si>
  <si>
    <t>ebc-MD6105D_1.jpg</t>
  </si>
  <si>
    <t>ebc-MD6110D_1.jpg</t>
  </si>
  <si>
    <t>ebc-MD6133D_1.jpg</t>
  </si>
  <si>
    <t>ebc-MD6137D_1.jpg</t>
  </si>
  <si>
    <t>ebc-MD6140D_1.jpg</t>
  </si>
  <si>
    <t>ebc-MD6171D_1.jpg</t>
  </si>
  <si>
    <t>ebc-MD6172D_1.jpg</t>
  </si>
  <si>
    <t>ebc-MD523X_1.jpg</t>
  </si>
  <si>
    <t>ebc-MD524_1.jpg</t>
  </si>
  <si>
    <t>ebc-MD603LS_1.jpg</t>
  </si>
  <si>
    <t>ebc-MD605LS_1.jpg</t>
  </si>
  <si>
    <t>ebc-MD606LS_1.jpg</t>
  </si>
  <si>
    <t>ebc-MD606RS_1.jpg</t>
  </si>
  <si>
    <t>ebc-MD609LS_1.jpg</t>
  </si>
  <si>
    <t>ebc-MD609RS_1.jpg</t>
  </si>
  <si>
    <t>ebc-MD611_1.jpg</t>
  </si>
  <si>
    <t>ebc-MD613_1.jpg</t>
  </si>
  <si>
    <t>ebc-MD616_1.jpg</t>
  </si>
  <si>
    <t>ebc-MD618_1.jpg</t>
  </si>
  <si>
    <t>ebc-MD620_1.jpg</t>
  </si>
  <si>
    <t>ebc-MD630LS_1.jpg</t>
  </si>
  <si>
    <t>ebc-MD630RS_1.jpg</t>
  </si>
  <si>
    <t>ebc-MD631_1.jpg</t>
  </si>
  <si>
    <t>ebc-MD632_1.jpg</t>
  </si>
  <si>
    <t>ebc-MD634RS_1.jpg</t>
  </si>
  <si>
    <t>ebc-MD642LS_1.jpg</t>
  </si>
  <si>
    <t>ebc-MD646LS_1.jpg</t>
  </si>
  <si>
    <t>ebc-MD646RS_1.jpg</t>
  </si>
  <si>
    <t>ebc-MD650_1.jpg</t>
  </si>
  <si>
    <t>ebc-MD656_1.jpg</t>
  </si>
  <si>
    <t>ebc-MD657LS_1.jpg</t>
  </si>
  <si>
    <t>ebc-MD688_1.jpg</t>
  </si>
  <si>
    <t>ebc-MD695_1.jpg</t>
  </si>
  <si>
    <t>ebc-MD714LD_1.jpg</t>
  </si>
  <si>
    <t>ebc-MD817X_1.jpg</t>
  </si>
  <si>
    <t>ebc-MD820_1.jpg</t>
  </si>
  <si>
    <t>ebc-MD821_1.jpg</t>
  </si>
  <si>
    <t>ebc-MD822_1.jpg</t>
  </si>
  <si>
    <t>ebc-MD825_1.jpg</t>
  </si>
  <si>
    <t>ebc-MD832_1.jpg</t>
  </si>
  <si>
    <t>ebc-MD843X_1.jpg</t>
  </si>
  <si>
    <t>ebc-MD845_1.jpg</t>
  </si>
  <si>
    <t>ebc-MD851_1.jpg</t>
  </si>
  <si>
    <t>ebc-MD852X_1.jpg</t>
  </si>
  <si>
    <t>ebc-MD922D_1.jpg</t>
  </si>
  <si>
    <t>ebc-MD942D_1.jpg</t>
  </si>
  <si>
    <t>ebc-MD987D_1.jpg</t>
  </si>
  <si>
    <t>ebc-MD988D_1.jpg</t>
  </si>
  <si>
    <t>ebc-MD1002_1.jpg</t>
  </si>
  <si>
    <t>ebc-MD1010LS_1.jpg</t>
  </si>
  <si>
    <t>ebc-MD1011_1.jpg</t>
  </si>
  <si>
    <t>ebc-MD1012LS_1.jpg</t>
  </si>
  <si>
    <t>ebc-MD1012RS_1.jpg</t>
  </si>
  <si>
    <t>ebc-MD1013_1.jpg</t>
  </si>
  <si>
    <t>ebc-MD1022_1.jpg</t>
  </si>
  <si>
    <t>ebc-MD1036LS_1.jpg</t>
  </si>
  <si>
    <t>ebc-MD1038RS_1.jpg</t>
  </si>
  <si>
    <t>ebc-MD1048_1.jpg</t>
  </si>
  <si>
    <t>ebc-MD1068_1.jpg</t>
  </si>
  <si>
    <t>ebc-MD1074LS_1.jpg</t>
  </si>
  <si>
    <t>ebc-MD1074RS_1.jpg</t>
  </si>
  <si>
    <t>ebc-MD1083LS_1.jpg</t>
  </si>
  <si>
    <t>ebc-MD1181_1.jpg</t>
  </si>
  <si>
    <t>ebc-MD1131LS_1.jpg</t>
  </si>
  <si>
    <t>ebc-MD1135_1.jpg</t>
  </si>
  <si>
    <t>ebc-MD1149_1.jpg</t>
  </si>
  <si>
    <t>ebc-MD1180X_1.jpg</t>
  </si>
  <si>
    <t>ebc-MD1182RS_1.jpg</t>
  </si>
  <si>
    <t>ebc-MD2009LS_1.jpg</t>
  </si>
  <si>
    <t>ebc-MD2009RS_1.jpg</t>
  </si>
  <si>
    <t>ebc-MD2011_1.jpg</t>
  </si>
  <si>
    <t>ebc-MD2020LS_1.jpg</t>
  </si>
  <si>
    <t>ebc-MD2020RS_1.jpg</t>
  </si>
  <si>
    <t>ebc-MD2021_1.jpg</t>
  </si>
  <si>
    <t>ebc-MD2022LS_1.jpg</t>
  </si>
  <si>
    <t>ebc-MD2022RS_1.jpg</t>
  </si>
  <si>
    <t>ebc-MD2023RS_1.jpg</t>
  </si>
  <si>
    <t>ebc-MD2025LS_1.jpg</t>
  </si>
  <si>
    <t>ebc-MD2025RS_1.jpg</t>
  </si>
  <si>
    <t>ebc-MD2070_1.jpg</t>
  </si>
  <si>
    <t>ebc-MD2075_1.jpg</t>
  </si>
  <si>
    <t>ebc-MD2084_1.jpg</t>
  </si>
  <si>
    <t>ebc-MD2086_1.jpg</t>
  </si>
  <si>
    <t>ebc-MD2093_1.jpg</t>
  </si>
  <si>
    <t>ebc-MD2100_1.jpg</t>
  </si>
  <si>
    <t>ebc-MD2100C_1.jpg</t>
  </si>
  <si>
    <t>ebc-MD3001LS_1.jpg</t>
  </si>
  <si>
    <t>ebc-MD3001RS_1.jpg</t>
  </si>
  <si>
    <t>ebc-MD3019RS_1.jpg</t>
  </si>
  <si>
    <t>ebc-MD3020LS_1.jpg</t>
  </si>
  <si>
    <t>ebc-MD3024_1.jpg</t>
  </si>
  <si>
    <t>ebc-MD3024LS_1.jpg</t>
  </si>
  <si>
    <t>ebc-MD3024RS_1.jpg</t>
  </si>
  <si>
    <t>ebc-MD3030LS_1.jpg</t>
  </si>
  <si>
    <t>ebc-MD3030RS_1.jpg</t>
  </si>
  <si>
    <t>ebc-MD3031LS_1.jpg</t>
  </si>
  <si>
    <t>ebc-MD3073LS_1.jpg</t>
  </si>
  <si>
    <t>ebc-MD3075LS_1.jpg</t>
  </si>
  <si>
    <t>ebc-MD3075RS_1.jpg</t>
  </si>
  <si>
    <t>ebc-MD3076_1.jpg</t>
  </si>
  <si>
    <t>ebc-MD3087LS_1.jpg</t>
  </si>
  <si>
    <t>ebc-MD3087RS_1.jpg</t>
  </si>
  <si>
    <t>ebc-MD3096RS_1.jpg</t>
  </si>
  <si>
    <t>ebc-MD4001_1.jpg</t>
  </si>
  <si>
    <t>ebc-MD4002LS_1.jpg</t>
  </si>
  <si>
    <t>ebc-MD4002RS_1.jpg</t>
  </si>
  <si>
    <t>ebc-MD4007_1.jpg</t>
  </si>
  <si>
    <t>ebc-MD4013_1.jpg</t>
  </si>
  <si>
    <t>ebc-MD4014_1.jpg</t>
  </si>
  <si>
    <t>ebc-MD4019_1.jpg</t>
  </si>
  <si>
    <t>ebc-MD4026LS_1.jpg</t>
  </si>
  <si>
    <t>ebc-MD4026RS_1.jpg</t>
  </si>
  <si>
    <t>ebc-MD4032_1.jpg</t>
  </si>
  <si>
    <t>ebc-MD4043LS_1.jpg</t>
  </si>
  <si>
    <t>ebc-MD4047LS_1.jpg</t>
  </si>
  <si>
    <t>ebc-MD4053LS_1.jpg</t>
  </si>
  <si>
    <t>ebc-MD4059LS_1.jpg</t>
  </si>
  <si>
    <t>ebc-MD4059RS_1.jpg</t>
  </si>
  <si>
    <t>ebc-MD4064LS_1.jpg</t>
  </si>
  <si>
    <t>ebc-MD4064RS_1.jpg</t>
  </si>
  <si>
    <t>ebc-MD4065LS_1.jpg</t>
  </si>
  <si>
    <t>ebc-MD4066LS_1.jpg</t>
  </si>
  <si>
    <t>ebc-MD4067LS_1.jpg</t>
  </si>
  <si>
    <t>ebc-MD4067RS_1.jpg</t>
  </si>
  <si>
    <t>ebc-MD4068_1.jpg</t>
  </si>
  <si>
    <t>ebc-MD4069LS_1.jpg</t>
  </si>
  <si>
    <t>ebc-MD4070LS_1.jpg</t>
  </si>
  <si>
    <t>ebc-MD4071LS_1.jpg</t>
  </si>
  <si>
    <t>ebc-MD4071RS_1.jpg</t>
  </si>
  <si>
    <t>ebc-MD4073_1.jpg</t>
  </si>
  <si>
    <t>ebc-MD4076LS_1.jpg</t>
  </si>
  <si>
    <t>ebc-MD4076RS_1.jpg</t>
  </si>
  <si>
    <t>ebc-MD4078LS_1.jpg</t>
  </si>
  <si>
    <t>ebc-MD4078RS_1.jpg</t>
  </si>
  <si>
    <t>ebc-MD4080LS_1.jpg</t>
  </si>
  <si>
    <t>ebc-MD4080RS_1.jpg</t>
  </si>
  <si>
    <t>ebc-MD4089LS_1.jpg</t>
  </si>
  <si>
    <t>ebc-MD4089RS_1.jpg</t>
  </si>
  <si>
    <t>ebc-MD4090_1.jpg</t>
  </si>
  <si>
    <t>ebc-MD4130_1.jpg</t>
  </si>
  <si>
    <t>ebc-MD4133_1.jpg</t>
  </si>
  <si>
    <t>ebc-MD4137RS_1.jpg</t>
  </si>
  <si>
    <t>ebc-MD4138_1.jpg</t>
  </si>
  <si>
    <t>ebc-MD4156XC_1.jpg</t>
  </si>
  <si>
    <t>ebc-MD4165C_1.jpg</t>
  </si>
  <si>
    <t>ebc-MD4009C_1.jpg</t>
  </si>
  <si>
    <t>ebc-MD4160C_1.jpg</t>
  </si>
  <si>
    <t>ebc-MD604RS_1.jpg</t>
  </si>
  <si>
    <t>ebc-DRC129_1.jpg</t>
  </si>
  <si>
    <t>ebc-FA31V_1.jpg</t>
  </si>
  <si>
    <t>ebc-CK1224_1.jpg</t>
  </si>
  <si>
    <t>ebc-MD881_1.jpg</t>
  </si>
  <si>
    <t>ebc-MD868X_1.jpg</t>
  </si>
  <si>
    <t>ebc-MD9134D_1.jpg</t>
  </si>
  <si>
    <t>ebc-MD802_1.jpg</t>
  </si>
  <si>
    <t>ebc-MD854_1.jpg</t>
  </si>
  <si>
    <t>ebc-MD1062LS_1.jpg</t>
  </si>
  <si>
    <t>ebc-MD1080RS_1.jpg</t>
  </si>
  <si>
    <t>ebc-MD2008_1.jpg</t>
  </si>
  <si>
    <t>ebc-MD2107_1.jpg</t>
  </si>
  <si>
    <t>ebc-MD4010_1.jpg</t>
  </si>
  <si>
    <t>ebc-MD4092_1.jpg</t>
  </si>
  <si>
    <t>ebc-MD1164_1.jpg</t>
  </si>
  <si>
    <t>ebc-MD6217D_1.jpg</t>
  </si>
  <si>
    <t>ebc-MD6222D_1.jpg</t>
  </si>
  <si>
    <t>ebc-MD6251D_1.jpg</t>
  </si>
  <si>
    <t>ebc-MD1163_1.jpg</t>
  </si>
  <si>
    <t>ebc-MD4017_1.jpg</t>
  </si>
  <si>
    <t>ebc-MD850_1.jpg</t>
  </si>
  <si>
    <t>ebc-MD864_1.jpg</t>
  </si>
  <si>
    <t>ebc-MD986D_1.jpg</t>
  </si>
  <si>
    <t>ebc-MD874_1.jpg</t>
  </si>
  <si>
    <t>ebc-MD3102X_1.jpg</t>
  </si>
  <si>
    <t>ebc-MD3103X_1.jpg</t>
  </si>
  <si>
    <t>ebc-MD1139_1.jpg</t>
  </si>
  <si>
    <t>ebc-MD1165_1.jpg</t>
  </si>
  <si>
    <t>ebc-MD1173_1.jpg</t>
  </si>
  <si>
    <t>ebc-MD1175_1.jpg</t>
  </si>
  <si>
    <t>ebc-MD1177_1.jpg</t>
  </si>
  <si>
    <t>ebc-MD1190_1.jpg</t>
  </si>
  <si>
    <t>ebc-MD2098_1.jpg</t>
  </si>
  <si>
    <t>ebc-MD2117_1.jpg</t>
  </si>
  <si>
    <t>ebc-MD2120_1.jpg</t>
  </si>
  <si>
    <t>ebc-MD2127X_1.jpg</t>
  </si>
  <si>
    <t>ebc-MD3105LS_1.jpg</t>
  </si>
  <si>
    <t>ebc-MD3106_1.jpg</t>
  </si>
  <si>
    <t>ebc-MD3107X_1.jpg</t>
  </si>
  <si>
    <t>ebc-MD3108_1.jpg</t>
  </si>
  <si>
    <t>ebc-MD3109X_1.jpg</t>
  </si>
  <si>
    <t>ebc-MD6244D_1.jpg</t>
  </si>
  <si>
    <t>ebc-MD831_1.jpg</t>
  </si>
  <si>
    <t>ebc-MD863_1.jpg</t>
  </si>
  <si>
    <t>ebc-MD9102D_1.jpg</t>
  </si>
  <si>
    <t>ebc-MD9109D_1.jpg</t>
  </si>
  <si>
    <t>ebc-MD9117D_1.jpg</t>
  </si>
  <si>
    <t>ebc-FA395SV_1.jpg</t>
  </si>
  <si>
    <t>ebc-FA381V_1.jpg</t>
  </si>
  <si>
    <t>ebc-EPFA158HH_1.jpg</t>
  </si>
  <si>
    <t>ebc-FA495X_1.jpg</t>
  </si>
  <si>
    <t>ebc-MD6094D_1.jpg</t>
  </si>
  <si>
    <t>ebc-SRK128_1.jpg</t>
  </si>
  <si>
    <t>ebc-FA317SV_1.jpg</t>
  </si>
  <si>
    <t>ebc-CSK78_1.jpg</t>
  </si>
  <si>
    <t>ebc-FA216/2_1.jpg</t>
  </si>
  <si>
    <t>ebc-DRC180_1.jpg</t>
  </si>
  <si>
    <t>ebc-FA643V_1.jpg</t>
  </si>
  <si>
    <t>ebc-FA145_1.jpg</t>
  </si>
  <si>
    <t>ebc-DRC39_1.jpg</t>
  </si>
  <si>
    <t>ebc-MD6396D_1.jpg</t>
  </si>
  <si>
    <t>ebc-DRC189_1.jpg</t>
  </si>
  <si>
    <t>ebc-FA214/2HH_1.jpg</t>
  </si>
  <si>
    <t>ebc-FA307SV_1.jpg</t>
  </si>
  <si>
    <t>ebc-FA675R_1.jpg</t>
  </si>
  <si>
    <t>ebc-SRC122_1.jpg</t>
  </si>
  <si>
    <t>ebc-713_1.jpg</t>
  </si>
  <si>
    <t>ebc-RSD020BLK_1.jpg</t>
  </si>
  <si>
    <t>ebc-FA447HH_1.jpg</t>
  </si>
  <si>
    <t>ebc-708_1.jpg</t>
  </si>
  <si>
    <t>ebc-DRC260_1.jpg</t>
  </si>
  <si>
    <t>ebc-MXS755_1.jpg</t>
  </si>
  <si>
    <t>ebc-CK1291_1.jpg</t>
  </si>
  <si>
    <t>ebc-CK2298_1.jpg</t>
  </si>
  <si>
    <t>ebc-MD6421CX_1.jpg</t>
  </si>
  <si>
    <t>ebc-DRC89_1.jpg</t>
  </si>
  <si>
    <t>ebc-DRC261_1.jpg</t>
  </si>
  <si>
    <t>ebc-CK2300_1.jpg</t>
  </si>
  <si>
    <t>ebc-FA349R_1.jpg</t>
  </si>
  <si>
    <t>ebc-DRC7_1.jpg</t>
  </si>
  <si>
    <t>ebc-MD6169D_1.jpg</t>
  </si>
  <si>
    <t>ebc-CSK130_1.jpg</t>
  </si>
  <si>
    <t>ebc-FA72V_1.jpg</t>
  </si>
  <si>
    <t>ebc-CT023_1.jpg</t>
  </si>
  <si>
    <t>ebc-CK3401_1.jpg</t>
  </si>
  <si>
    <t>ebc-MD4158_1.jpg</t>
  </si>
  <si>
    <t>ebc-DRC105_1.jpg</t>
  </si>
  <si>
    <t>ebc-FA410SV_1.jpg</t>
  </si>
  <si>
    <t>ebc-MD6002D_1.jpg</t>
  </si>
  <si>
    <t>ebc-FA456R_1.jpg</t>
  </si>
  <si>
    <t>ebc-CSK90_1.jpg</t>
  </si>
  <si>
    <t>ebc-CK2364_1.jpg</t>
  </si>
  <si>
    <t>ebc-FA158_1.jpg</t>
  </si>
  <si>
    <t>ebc-CK1131_1.jpg</t>
  </si>
  <si>
    <t>ebc-CK1167_1.jpg</t>
  </si>
  <si>
    <t>ebc-CK1177_1.jpg</t>
  </si>
  <si>
    <t>ebc-CK2367_1.jpg</t>
  </si>
  <si>
    <t>ebc-CK6681_1.jpg</t>
  </si>
  <si>
    <t>ebc-CK1119_1.jpg</t>
  </si>
  <si>
    <t>ebc-EPFA231HH_1.jpg</t>
  </si>
  <si>
    <t>ebc-CK3344_1.jpg</t>
  </si>
  <si>
    <t>ebc-OS6254C_1.jpg</t>
  </si>
  <si>
    <t>ebc-MD6291D_1.jpg</t>
  </si>
  <si>
    <t>ebc-FA663HH_1.jpg</t>
  </si>
  <si>
    <t>ebc-FA67HH_1.jpg</t>
  </si>
  <si>
    <t>ebc-CK5631_1.jpg</t>
  </si>
  <si>
    <t>ebc-DRC87_1.jpg</t>
  </si>
  <si>
    <t>ebc-SFA498HH_1.jpg</t>
  </si>
  <si>
    <t>ebc-502G_1.jpg</t>
  </si>
  <si>
    <t>ebc-506_1.jpg</t>
  </si>
  <si>
    <t>ebc-FA201V_1.jpg</t>
  </si>
  <si>
    <t>ebc-FA103V_1.jpg</t>
  </si>
  <si>
    <t>ebc-CK1151_1.jpg</t>
  </si>
  <si>
    <t>ebc-OS6437C_1.jpg</t>
  </si>
  <si>
    <t>ebc-EPFA447HH_1.jpg</t>
  </si>
  <si>
    <t>ebc-FA85HH_1.jpg</t>
  </si>
  <si>
    <t>ebc-CK1143_1.jpg</t>
  </si>
  <si>
    <t>ebc-MXS125_1.jpg</t>
  </si>
  <si>
    <t>ebc-MXS131_1.jpg</t>
  </si>
  <si>
    <t>ebc-FA254HH_1.jpg</t>
  </si>
  <si>
    <t>ebc-MD6022D_1.jpg</t>
  </si>
  <si>
    <t>ebc-FA357R_1.jpg</t>
  </si>
  <si>
    <t>ebc-FA446R_1.jpg</t>
  </si>
  <si>
    <t>ebc-EPFA347HH_1.jpg</t>
  </si>
  <si>
    <t>ebc-MD6355D_1.jpg</t>
  </si>
  <si>
    <t>ebc-FA600X_1.jpg</t>
  </si>
  <si>
    <t>ebc-MD1126_1.jpg</t>
  </si>
  <si>
    <t>ebc-MD6208C_1.jpg</t>
  </si>
  <si>
    <t>ebc-FA444X_1.jpg</t>
  </si>
  <si>
    <t>ebc-625_1.jpg</t>
  </si>
  <si>
    <t>ebc-325_1.jpg</t>
  </si>
  <si>
    <t>ebc-FA354SV_1.jpg</t>
  </si>
  <si>
    <t>ebc-CSK49_1.jpg</t>
  </si>
  <si>
    <t>ebc-CK3465_1.jpg</t>
  </si>
  <si>
    <t>ebc-CSK32_1.jpg</t>
  </si>
  <si>
    <t>ebc-301_1.jpg</t>
  </si>
  <si>
    <t>ebc-MD6208D_1.jpg</t>
  </si>
  <si>
    <t>ebc-DRC174_1.jpg</t>
  </si>
  <si>
    <t>ebc-CSK40_1.jpg</t>
  </si>
  <si>
    <t>ebc-FA266R_1.jpg</t>
  </si>
  <si>
    <t>ebc-DRC288_1.jpg</t>
  </si>
  <si>
    <t>ebc-CSK80_1.jpg</t>
  </si>
  <si>
    <t>ebc-FA94HH_1.jpg</t>
  </si>
  <si>
    <t>ebc-FA203_1.jpg</t>
  </si>
  <si>
    <t>ebc-CSK53_1.jpg</t>
  </si>
  <si>
    <t>ebc-CK3318_1.jpg</t>
  </si>
  <si>
    <t>ebc-FA741X_1.jpg</t>
  </si>
  <si>
    <t>ebc-FA160HH_1.jpg</t>
  </si>
  <si>
    <t>ebc-FA213V_1.jpg</t>
  </si>
  <si>
    <t>ebc-FA244HH_1.jpg</t>
  </si>
  <si>
    <t>ebc-FA319/2V_1.jpg</t>
  </si>
  <si>
    <t>ebc-MD6325D_1.jpg</t>
  </si>
  <si>
    <t>ebc-FA194HH_1.jpg</t>
  </si>
  <si>
    <t>ebc-FA662V_1.jpg</t>
  </si>
  <si>
    <t>ebc-FA641/4HH_1.jpg</t>
  </si>
  <si>
    <t>ebc-FA606_1.jpg</t>
  </si>
  <si>
    <t>ebc-FA188HH_1.jpg</t>
  </si>
  <si>
    <t>ebc-CT050SP_1.jpg</t>
  </si>
  <si>
    <t>ebc-CK3333_1.jpg</t>
  </si>
  <si>
    <t>ebc-FA304V_1.jpg</t>
  </si>
  <si>
    <t>ebc-MD6064D_1.jpg</t>
  </si>
  <si>
    <t>ebc-CK1132_1.jpg</t>
  </si>
  <si>
    <t>ebc-SXR456HH_1.jpg</t>
  </si>
  <si>
    <t>ebc-SRC9_1.jpg</t>
  </si>
  <si>
    <t>ebc-CK3457_1.jpg</t>
  </si>
  <si>
    <t>ebc-FA602R_1.jpg</t>
  </si>
  <si>
    <t>ebc-MD661_1.jpg</t>
  </si>
  <si>
    <t>ebc-FSD004_1.jpg</t>
  </si>
  <si>
    <t>ebc-FA325R_1.jpg</t>
  </si>
  <si>
    <t>ebc-CK5612_1.jpg</t>
  </si>
  <si>
    <t>ebc-FA455HH_1.jpg</t>
  </si>
  <si>
    <t>ebc-CK4521_1.jpg</t>
  </si>
  <si>
    <t>ebc-MD1179_1.jpg</t>
  </si>
  <si>
    <t>ebc-FA367X_1.jpg</t>
  </si>
  <si>
    <t>ebc-SFA83/2_1.jpg</t>
  </si>
  <si>
    <t>ebc-CK4519_1.jpg</t>
  </si>
  <si>
    <t>ebc-CK2309_1.jpg</t>
  </si>
  <si>
    <t>ebc-CSK908_1.jpg</t>
  </si>
  <si>
    <t>ebc-FA497X_1.jpg</t>
  </si>
  <si>
    <t>ebc-FA671HH_1.jpg</t>
  </si>
  <si>
    <t>ebc-DRC75_1.jpg</t>
  </si>
  <si>
    <t>ebc-CSK71_1.jpg</t>
  </si>
  <si>
    <t>ebc-FA613HH_1.jpg</t>
  </si>
  <si>
    <t>ebc-FA682R_1.jpg</t>
  </si>
  <si>
    <t>ebc-CK4438_1.jpg</t>
  </si>
  <si>
    <t>ebc-510G_1.jpg</t>
  </si>
  <si>
    <t>ebc-MD6388CX_1.jpg</t>
  </si>
  <si>
    <t>ebc-FA208R_1.jpg</t>
  </si>
  <si>
    <t>ebc-SRK151_1.jpg</t>
  </si>
  <si>
    <t>ebc-FA456SV_1.jpg</t>
  </si>
  <si>
    <t>ebc-FSD009_1.jpg</t>
  </si>
  <si>
    <t>ebc-FA54X_1.jpg</t>
  </si>
  <si>
    <t>ebc-CSK18_1.jpg</t>
  </si>
  <si>
    <t>ebc-CSK17_1.jpg</t>
  </si>
  <si>
    <t>ebc-FA643HH_1.jpg</t>
  </si>
  <si>
    <t>ebc-FA344R_1.jpg</t>
  </si>
  <si>
    <t>ebc-FA214_1.jpg</t>
  </si>
  <si>
    <t>ebc-SRC87_1.jpg</t>
  </si>
  <si>
    <t>ebc-MD6356C_1.jpg</t>
  </si>
  <si>
    <t>ebc-FA479X_1.jpg</t>
  </si>
  <si>
    <t>ebc-MD2127XC_1.jpg</t>
  </si>
  <si>
    <t>ebc-SFA353_1.jpg</t>
  </si>
  <si>
    <t>ebc-FA674SV_1.jpg</t>
  </si>
  <si>
    <t>ebc-CK2352_1.jpg</t>
  </si>
  <si>
    <t>ebc-SRC81_1.jpg</t>
  </si>
  <si>
    <t>ebc-MD4125LS_1.jpg</t>
  </si>
  <si>
    <t>ebc-DRCF241_1.jpg</t>
  </si>
  <si>
    <t>ebc-328_1.jpg</t>
  </si>
  <si>
    <t>ebc-DRC113_1.jpg</t>
  </si>
  <si>
    <t>ebc-FA152R_1.jpg</t>
  </si>
  <si>
    <t>ebc-SFA115_1.jpg</t>
  </si>
  <si>
    <t>ebc-MD1161XC_1.jpg</t>
  </si>
  <si>
    <t>ebc-DRC155_1.jpg</t>
  </si>
  <si>
    <t>ebc-FA410R_1.jpg</t>
  </si>
  <si>
    <t>ebc-DRC57_1.jpg</t>
  </si>
  <si>
    <t>ebc-FA231V_1.jpg</t>
  </si>
  <si>
    <t>ebc-DRC6_1.jpg</t>
  </si>
  <si>
    <t>ebc-FA24/2_1.jpg</t>
  </si>
  <si>
    <t>ebc-FA446X_1.jpg</t>
  </si>
  <si>
    <t>ebc-MD6374D_1.jpg</t>
  </si>
  <si>
    <t>ebc-CK1176_1.jpg</t>
  </si>
  <si>
    <t>ebc-DRC46_1.jpg</t>
  </si>
  <si>
    <t>ebc-CK4515_1.jpg</t>
  </si>
  <si>
    <t>ebc-624_1.jpg</t>
  </si>
  <si>
    <t>ebc-SRK54_1.jpg</t>
  </si>
  <si>
    <t>ebc-FA307R_1.jpg</t>
  </si>
  <si>
    <t>ebc-FA119R_1.jpg</t>
  </si>
  <si>
    <t>ebc-SRC50_1.jpg</t>
  </si>
  <si>
    <t>ebc-SRC57_1.jpg</t>
  </si>
  <si>
    <t>ebc-FSD010_1.jpg</t>
  </si>
  <si>
    <t>ebc-FA676SV_1.jpg</t>
  </si>
  <si>
    <t>ebc-MD994D_1.jpg</t>
  </si>
  <si>
    <t>ebc-CK5611_1.jpg</t>
  </si>
  <si>
    <t>ebc-DRC35_1.jpg</t>
  </si>
  <si>
    <t>ebc-FA417/4HH_1.jpg</t>
  </si>
  <si>
    <t>ebc-614_1.jpg</t>
  </si>
  <si>
    <t>ebc-MD809C_1.jpg</t>
  </si>
  <si>
    <t>ebc-FA69/2_1.jpg</t>
  </si>
  <si>
    <t>ebc-FA367R_1.jpg</t>
  </si>
  <si>
    <t>ebc-DRC112_1.jpg</t>
  </si>
  <si>
    <t>ebc-MD3060C_1.jpg</t>
  </si>
  <si>
    <t>ebc-SRK75_1.jpg</t>
  </si>
  <si>
    <t>ebc-DRC194_1.jpg</t>
  </si>
  <si>
    <t>ebc-SRK83_1.jpg</t>
  </si>
  <si>
    <t>ebc-EPFA368HH_1.jpg</t>
  </si>
  <si>
    <t>ebc-SFA47_1.jpg</t>
  </si>
  <si>
    <t>ebc-FA256_1.jpg</t>
  </si>
  <si>
    <t>ebc-CK1156_1.jpg</t>
  </si>
  <si>
    <t>ebc-CK1209_1.jpg</t>
  </si>
  <si>
    <t>ebc-FA683SV_1.jpg</t>
  </si>
  <si>
    <t>ebc-FA50X_1.jpg</t>
  </si>
  <si>
    <t>ebc-FA631V_1.jpg</t>
  </si>
  <si>
    <t>ebc-FA32V_1.jpg</t>
  </si>
  <si>
    <t>ebc-DRCF109_1.jpg</t>
  </si>
  <si>
    <t>ebc-MD6003D_1.jpg</t>
  </si>
  <si>
    <t>ebc-MD689_1.jpg</t>
  </si>
  <si>
    <t>ebc-SFA283_1.jpg</t>
  </si>
  <si>
    <t>ebc-DRC64_1.jpg</t>
  </si>
  <si>
    <t>ebc-DRC1_1.jpg</t>
  </si>
  <si>
    <t>ebc-CSK159_1.jpg</t>
  </si>
  <si>
    <t>ebc-MD6035CX_1.jpg</t>
  </si>
  <si>
    <t>ebc-FA123HH_1.jpg</t>
  </si>
  <si>
    <t>ebc-MD649_1.jpg</t>
  </si>
  <si>
    <t>ebc-MD4016_1.jpg</t>
  </si>
  <si>
    <t>ebc-CK3430_1.jpg</t>
  </si>
  <si>
    <t>ebc-FA489R_1.jpg</t>
  </si>
  <si>
    <t>ebc-SFA603HH_1.jpg</t>
  </si>
  <si>
    <t>ebc-CK3324_1.jpg</t>
  </si>
  <si>
    <t>ebc-MD6067D_1.jpg</t>
  </si>
  <si>
    <t>ebc-532_1.jpg</t>
  </si>
  <si>
    <t>ebc-FA410X_1.jpg</t>
  </si>
  <si>
    <t>ebc-527G_1.jpg</t>
  </si>
  <si>
    <t>ebc-CK2206_1.jpg</t>
  </si>
  <si>
    <t>ebc-DRC95_1.jpg</t>
  </si>
  <si>
    <t>ebc-CSK42_1.jpg</t>
  </si>
  <si>
    <t>ebc-FA672HH_1.jpg</t>
  </si>
  <si>
    <t>ebc-CKF5594_1.jpg</t>
  </si>
  <si>
    <t>ebc-FA600/2R_1.jpg</t>
  </si>
  <si>
    <t>ebc-FA152/2X_1.jpg</t>
  </si>
  <si>
    <t>ebc-CSK150_1.jpg</t>
  </si>
  <si>
    <t>ebc-FA346X_1.jpg</t>
  </si>
  <si>
    <t>ebc-315G_1.jpg</t>
  </si>
  <si>
    <t>ebc-MD3109XC_1.jpg</t>
  </si>
  <si>
    <t>ebc-EPFA380HH_1.jpg</t>
  </si>
  <si>
    <t>ebc-FA200HH_1.jpg</t>
  </si>
  <si>
    <t>ebc-MD6389C_1.jpg</t>
  </si>
  <si>
    <t>ebc-MD2078_1.jpg</t>
  </si>
  <si>
    <t>ebc-MXS406_1.jpg</t>
  </si>
  <si>
    <t>ebc-715G_1.jpg</t>
  </si>
  <si>
    <t>ebc-CSK129_1.jpg</t>
  </si>
  <si>
    <t>ebc-314_1.jpg</t>
  </si>
  <si>
    <t>ebc-CK3357_1.jpg</t>
  </si>
  <si>
    <t>ebc-DRC20_1.jpg</t>
  </si>
  <si>
    <t>ebc-FA130R_1.jpg</t>
  </si>
  <si>
    <t>ebc-MD3029_1.jpg</t>
  </si>
  <si>
    <t>ebc-CK5648_1.jpg</t>
  </si>
  <si>
    <t>ebc-SFA179HH_1.jpg</t>
  </si>
  <si>
    <t>ebc-CT078SP_1.jpg</t>
  </si>
  <si>
    <t>ebc-CK1317_1.jpg</t>
  </si>
  <si>
    <t>ebc-SFA257_1.jpg</t>
  </si>
  <si>
    <t>ebc-CK4493_1.jpg</t>
  </si>
  <si>
    <t>ebc-MD4042_1.jpg</t>
  </si>
  <si>
    <t>ebc-FA231HH_1.jpg</t>
  </si>
  <si>
    <t>ebc-FA305X_1.jpg</t>
  </si>
  <si>
    <t>ebc-CSK99_1.jpg</t>
  </si>
  <si>
    <t>ebc-FA314SV_1.jpg</t>
  </si>
  <si>
    <t>ebc-FA355/4X_1.jpg</t>
  </si>
  <si>
    <t>ebc-FA41V_1.jpg</t>
  </si>
  <si>
    <t>ebc-FA659X_1.jpg</t>
  </si>
  <si>
    <t>ebc-MD6236D_1.jpg</t>
  </si>
  <si>
    <t>ebc-MD6051D_1.jpg</t>
  </si>
  <si>
    <t>ebc-MD6095D_1.jpg</t>
  </si>
  <si>
    <t>ebc-CK2335_1.jpg</t>
  </si>
  <si>
    <t>ebc-SXR676HH_1.jpg</t>
  </si>
  <si>
    <t>ebc-FA105X_1.jpg</t>
  </si>
  <si>
    <t>ebc-CSK187_1.jpg</t>
  </si>
  <si>
    <t>ebc-FA270SV_1.jpg</t>
  </si>
  <si>
    <t>ebc-MD6388C_1.jpg</t>
  </si>
  <si>
    <t>ebc-MD6392CX_1.jpg</t>
  </si>
  <si>
    <t>ebc-710_1.jpg</t>
  </si>
  <si>
    <t>ebc-634G_1.jpg</t>
  </si>
  <si>
    <t>ebc-CT029_1.jpg</t>
  </si>
  <si>
    <t>ebc-FA78V_1.jpg</t>
  </si>
  <si>
    <t>ebc-MD3098X_1.jpg</t>
  </si>
  <si>
    <t>ebc-FA363V_1.jpg</t>
  </si>
  <si>
    <t>ebc-DRC259_1.jpg</t>
  </si>
  <si>
    <t>ebc-814G_1.jpg</t>
  </si>
  <si>
    <t>ebc-CK1305_1.jpg</t>
  </si>
  <si>
    <t>ebc-FA70_1.jpg</t>
  </si>
  <si>
    <t>ebc-SFA283/4_1.jpg</t>
  </si>
  <si>
    <t>ebc-MD1177C_1.jpg</t>
  </si>
  <si>
    <t>ebc-FA375HH_1.jpg</t>
  </si>
  <si>
    <t>ebc-FA600R_1.jpg</t>
  </si>
  <si>
    <t>ebc-MD6233D_1.jpg</t>
  </si>
  <si>
    <t>ebc-FA125X_1.jpg</t>
  </si>
  <si>
    <t>ebc-FA142HH_1.jpg</t>
  </si>
  <si>
    <t>ebc-FA337R_1.jpg</t>
  </si>
  <si>
    <t>ebc-CT028_1.jpg</t>
  </si>
  <si>
    <t>ebc-MD4124LS_1.jpg</t>
  </si>
  <si>
    <t>ebc-DRC59_1.jpg</t>
  </si>
  <si>
    <t>ebc-FA643_1.jpg</t>
  </si>
  <si>
    <t>ebc-507G_1.jpg</t>
  </si>
  <si>
    <t>ebc-MD518_1.jpg</t>
  </si>
  <si>
    <t>ebc-MD6037D_1.jpg</t>
  </si>
  <si>
    <t>ebc-FA642X_1.jpg</t>
  </si>
  <si>
    <t>ebc-FA128R_1.jpg</t>
  </si>
  <si>
    <t>ebc-MD6035D_1.jpg</t>
  </si>
  <si>
    <t>ebc-MD6309C_1.jpg</t>
  </si>
  <si>
    <t>ebc-MD3003X_1.jpg</t>
  </si>
  <si>
    <t>ebc-SRC74_1.jpg</t>
  </si>
  <si>
    <t>ebc-FA319/2HH_1.jpg</t>
  </si>
  <si>
    <t>ebc-FA165X_1.jpg</t>
  </si>
  <si>
    <t>ebc-CSK9_1.jpg</t>
  </si>
  <si>
    <t>ebc-DRC241_1.jpg</t>
  </si>
  <si>
    <t>ebc-FA158HH_1.jpg</t>
  </si>
  <si>
    <t>ebc-SFA256_1.jpg</t>
  </si>
  <si>
    <t>ebc-MD516X_1.jpg</t>
  </si>
  <si>
    <t>ebc-SFA199_1.jpg</t>
  </si>
  <si>
    <t>ebc-MD6419CX_1.jpg</t>
  </si>
  <si>
    <t>ebc-FA187HH_1.jpg</t>
  </si>
  <si>
    <t>ebc-FA179V_1.jpg</t>
  </si>
  <si>
    <t>ebc-CT047SP_1.jpg</t>
  </si>
  <si>
    <t>ebc-DRC238_1.jpg</t>
  </si>
  <si>
    <t>ebc-SRK118_1.jpg</t>
  </si>
  <si>
    <t>ebc-CT024_1.jpg</t>
  </si>
  <si>
    <t>ebc-FA95_1.jpg</t>
  </si>
  <si>
    <t>ebc-GPFAX447HH_1.jpg</t>
  </si>
  <si>
    <t>ebc-DRC71_1.jpg</t>
  </si>
  <si>
    <t>ebc-FA94_1.jpg</t>
  </si>
  <si>
    <t>ebc-CSK12_1.jpg</t>
  </si>
  <si>
    <t>ebc-MD4163C_1.jpg</t>
  </si>
  <si>
    <t>ebc-333G_1.jpg</t>
  </si>
  <si>
    <t>ebc-CSK41_1.jpg</t>
  </si>
  <si>
    <t>ebc-MD679XC_1.jpg</t>
  </si>
  <si>
    <t>ebc-MD3086_1.jpg</t>
  </si>
  <si>
    <t>ebc-FA18HH_1.jpg</t>
  </si>
  <si>
    <t>ebc-CK1140_1.jpg</t>
  </si>
  <si>
    <t>ebc-CK1264_1.jpg</t>
  </si>
  <si>
    <t>ebc-SFA415HH_1.jpg</t>
  </si>
  <si>
    <t>ebc-CK4473_1.jpg</t>
  </si>
  <si>
    <t>ebc-CT012SP_1.jpg</t>
  </si>
  <si>
    <t>ebc-307G_1.jpg</t>
  </si>
  <si>
    <t>ebc-899_1.jpg</t>
  </si>
  <si>
    <t>ebc-SRC41_1.jpg</t>
  </si>
  <si>
    <t>ebc-DRCF70_1.jpg</t>
  </si>
  <si>
    <t>ebc-CK4434_1.jpg</t>
  </si>
  <si>
    <t>ebc-FA126X_1.jpg</t>
  </si>
  <si>
    <t>ebc-SFA228HH_1.jpg</t>
  </si>
  <si>
    <t>ebc-342_1.jpg</t>
  </si>
  <si>
    <t>ebc-FA346R_1.jpg</t>
  </si>
  <si>
    <t>ebc-DRC99_1.jpg</t>
  </si>
  <si>
    <t>ebc-FA476X_1.jpg</t>
  </si>
  <si>
    <t>ebc-FA26_1.jpg</t>
  </si>
  <si>
    <t>ebc-CSK103_1.jpg</t>
  </si>
  <si>
    <t>ebc-FA179HH_1.jpg</t>
  </si>
  <si>
    <t>ebc-CSK116_1.jpg</t>
  </si>
  <si>
    <t>ebc-SXR645HH_1.jpg</t>
  </si>
  <si>
    <t>ebc-MD615_1.jpg</t>
  </si>
  <si>
    <t>ebc-CSK65_1.jpg</t>
  </si>
  <si>
    <t>ebc-CSK39_1.jpg</t>
  </si>
  <si>
    <t>ebc-FA669/4_1.jpg</t>
  </si>
  <si>
    <t>ebc-FA443SV_1.jpg</t>
  </si>
  <si>
    <t>ebc-MD4136X_1.jpg</t>
  </si>
  <si>
    <t>ebc-FA307X_1.jpg</t>
  </si>
  <si>
    <t>ebc-CT043SP_1.jpg</t>
  </si>
  <si>
    <t>ebc-636_1.jpg</t>
  </si>
  <si>
    <t>ebc-344_1.jpg</t>
  </si>
  <si>
    <t>ebc-528_1.jpg</t>
  </si>
  <si>
    <t>ebc-FA387_1.jpg</t>
  </si>
  <si>
    <t>ebc-339_1.jpg</t>
  </si>
  <si>
    <t>ebc-715_1.jpg</t>
  </si>
  <si>
    <t>ebc-FA349SV_1.jpg</t>
  </si>
  <si>
    <t>ebc-CSK906_1.jpg</t>
  </si>
  <si>
    <t>ebc-FA419V_1.jpg</t>
  </si>
  <si>
    <t>ebc-FA101R_1.jpg</t>
  </si>
  <si>
    <t>ebc-FA13V_1.jpg</t>
  </si>
  <si>
    <t>ebc-FA651R_1.jpg</t>
  </si>
  <si>
    <t>ebc-SFA197_1.jpg</t>
  </si>
  <si>
    <t>ebc-CK1181_1.jpg</t>
  </si>
  <si>
    <t>ebc-FA71_1.jpg</t>
  </si>
  <si>
    <t>ebc-CSK6_1.jpg</t>
  </si>
  <si>
    <t>ebc-CT027_1.jpg</t>
  </si>
  <si>
    <t>ebc-816_1.jpg</t>
  </si>
  <si>
    <t>ebc-719_1.jpg</t>
  </si>
  <si>
    <t>ebc-DRC237_1.jpg</t>
  </si>
  <si>
    <t>ebc-DRC106_1.jpg</t>
  </si>
  <si>
    <t>ebc-FA304HH_1.jpg</t>
  </si>
  <si>
    <t>ebc-FA657X_1.jpg</t>
  </si>
  <si>
    <t>ebc-MD3032RS_1.jpg</t>
  </si>
  <si>
    <t>ebc-DRCF25_1.jpg</t>
  </si>
  <si>
    <t>ebc-SFA151_1.jpg</t>
  </si>
  <si>
    <t>ebc-FA85V_1.jpg</t>
  </si>
  <si>
    <t>ebc-350_1.jpg</t>
  </si>
  <si>
    <t>ebc-MD6017C_1.jpg</t>
  </si>
  <si>
    <t>ebc-SFA323_1.jpg</t>
  </si>
  <si>
    <t>ebc-OS6264C_1.jpg</t>
  </si>
  <si>
    <t>ebc-FA712SV_1.jpg</t>
  </si>
  <si>
    <t>ebc-SFA358HH_1.jpg</t>
  </si>
  <si>
    <t>ebc-CT055SP_1.jpg</t>
  </si>
  <si>
    <t>ebc-FA161HH_1.jpg</t>
  </si>
  <si>
    <t>ebc-CK4468_1.jpg</t>
  </si>
  <si>
    <t>ebc-MD4165_1.jpg</t>
  </si>
  <si>
    <t>ebc-FA150HH_1.jpg</t>
  </si>
  <si>
    <t>ebc-FA651X_1.jpg</t>
  </si>
  <si>
    <t>ebc-309_1.jpg</t>
  </si>
  <si>
    <t>ebc-CK2234_1.jpg</t>
  </si>
  <si>
    <t>ebc-CK3330_1.jpg</t>
  </si>
  <si>
    <t>ebc-FA702X_1.jpg</t>
  </si>
  <si>
    <t>ebc-304G_1.jpg</t>
  </si>
  <si>
    <t>ebc-516G_1.jpg</t>
  </si>
  <si>
    <t>ebc-SFA213HH_1.jpg</t>
  </si>
  <si>
    <t>ebc-MD2092_1.jpg</t>
  </si>
  <si>
    <t>ebc-SRK129_1.jpg</t>
  </si>
  <si>
    <t>ebc-CK2245_1.jpg</t>
  </si>
  <si>
    <t>ebc-320_1.jpg</t>
  </si>
  <si>
    <t>ebc-DRC280_1.jpg</t>
  </si>
  <si>
    <t>ebc-CK1190_1.jpg</t>
  </si>
  <si>
    <t>ebc-FA21X_1.jpg</t>
  </si>
  <si>
    <t>ebc-FA478X_1.jpg</t>
  </si>
  <si>
    <t>ebc-SRC86_1.jpg</t>
  </si>
  <si>
    <t>ebc-CK1196_1.jpg</t>
  </si>
  <si>
    <t>ebc-DRC130_1.jpg</t>
  </si>
  <si>
    <t>ebc-531_1.jpg</t>
  </si>
  <si>
    <t>ebc-603_1.jpg</t>
  </si>
  <si>
    <t>ebc-FA456X_1.jpg</t>
  </si>
  <si>
    <t>ebc-FA740R_1.jpg</t>
  </si>
  <si>
    <t>ebc-FA640HH_1.jpg</t>
  </si>
  <si>
    <t>ebc-FA367/2R_1.jpg</t>
  </si>
  <si>
    <t>ebc-CSK902_1.jpg</t>
  </si>
  <si>
    <t>ebc-FA710V_1.jpg</t>
  </si>
  <si>
    <t>ebc-MD652_1.jpg</t>
  </si>
  <si>
    <t>ebc-DRC160_1.jpg</t>
  </si>
  <si>
    <t>ebc-CSK14_1.jpg</t>
  </si>
  <si>
    <t>ebc-SXR159HH_1.jpg</t>
  </si>
  <si>
    <t>ebc-CSK74_1.jpg</t>
  </si>
  <si>
    <t>ebc-SRK57_1.jpg</t>
  </si>
  <si>
    <t>ebc-CK2299_1.jpg</t>
  </si>
  <si>
    <t>ebc-CSK106_1.jpg</t>
  </si>
  <si>
    <t>ebc-DRC98_1.jpg</t>
  </si>
  <si>
    <t>ebc-SRK33_1.jpg</t>
  </si>
  <si>
    <t>ebc-SRC78_1.jpg</t>
  </si>
  <si>
    <t>ebc-CSK20_1.jpg</t>
  </si>
  <si>
    <t>ebc-SFA411HH_1.jpg</t>
  </si>
  <si>
    <t>ebc-SFA228_1.jpg</t>
  </si>
  <si>
    <t>ebc-316_1.jpg</t>
  </si>
  <si>
    <t>ebc-FA682SV_1.jpg</t>
  </si>
  <si>
    <t>ebc-DRC88_1.jpg</t>
  </si>
  <si>
    <t>ebc-DRCF158_1.jpg</t>
  </si>
  <si>
    <t>ebc-CSK77_1.jpg</t>
  </si>
  <si>
    <t>ebc-FA445R_1.jpg</t>
  </si>
  <si>
    <t>ebc-FA34_1.jpg</t>
  </si>
  <si>
    <t>ebc-FA314R_1.jpg</t>
  </si>
  <si>
    <t>ebc-DRC195_1.jpg</t>
  </si>
  <si>
    <t>ebc-MD2082XC_1.jpg</t>
  </si>
  <si>
    <t>ebc-FA21R_1.jpg</t>
  </si>
  <si>
    <t>ebc-FA682X_1.jpg</t>
  </si>
  <si>
    <t>ebc-CFA394_1.jpg</t>
  </si>
  <si>
    <t>ebc-EPFA296HH_1.jpg</t>
  </si>
  <si>
    <t>ebc-MD663_1.jpg</t>
  </si>
  <si>
    <t>ebc-MD6158C_1.jpg</t>
  </si>
  <si>
    <t>ebc-MD6275D_1.jpg</t>
  </si>
  <si>
    <t>ebc-SXR354HH_1.jpg</t>
  </si>
  <si>
    <t>ebc-SRC40_1.jpg</t>
  </si>
  <si>
    <t>ebc-CSK29_1.jpg</t>
  </si>
  <si>
    <t>ebc-CK4425_1.jpg</t>
  </si>
  <si>
    <t>ebc-CSK121_1.jpg</t>
  </si>
  <si>
    <t>ebc-628_1.jpg</t>
  </si>
  <si>
    <t>ebc-319_1.jpg</t>
  </si>
  <si>
    <t>ebc-FA165SV_1.jpg</t>
  </si>
  <si>
    <t>ebc-FA496_1.jpg</t>
  </si>
  <si>
    <t>ebc-CK1303_1.jpg</t>
  </si>
  <si>
    <t>ebc-CK4484_1.jpg</t>
  </si>
  <si>
    <t>ebc-FA62_1.jpg</t>
  </si>
  <si>
    <t>ebc-CK3359_1.jpg</t>
  </si>
  <si>
    <t>ebc-DRC239_1.jpg</t>
  </si>
  <si>
    <t>ebc-CKF1170_1.jpg</t>
  </si>
  <si>
    <t>ebc-CKF2370_1.jpg</t>
  </si>
  <si>
    <t>ebc-CKF2364_1.jpg</t>
  </si>
  <si>
    <t>ebc-CKF1151_1.jpg</t>
  </si>
  <si>
    <t>ebc-FA409HH_1.jpg</t>
  </si>
  <si>
    <t>ebc-MD6434D_1.jpg</t>
  </si>
  <si>
    <t>ebc-CK4457_1.jpg</t>
  </si>
  <si>
    <t>ebc-629_1.jpg</t>
  </si>
  <si>
    <t>ebc-FA261/2HH_1.jpg</t>
  </si>
  <si>
    <t>ebc-MD4051_1.jpg</t>
  </si>
  <si>
    <t>ebc-FA252_1.jpg</t>
  </si>
  <si>
    <t>ebc-303G_1.jpg</t>
  </si>
  <si>
    <t>ebc-833G_1.jpg</t>
  </si>
  <si>
    <t>ebc-CK5636_1.jpg</t>
  </si>
  <si>
    <t>ebc-CSK16_1.jpg</t>
  </si>
  <si>
    <t>ebc-SRK122_1.jpg</t>
  </si>
  <si>
    <t>ebc-FA215/2_1.jpg</t>
  </si>
  <si>
    <t>ebc-SFA54HH_1.jpg</t>
  </si>
  <si>
    <t>ebc-709_1.jpg</t>
  </si>
  <si>
    <t>ebc-CT021_1.jpg</t>
  </si>
  <si>
    <t>ebc-FA642SV_1.jpg</t>
  </si>
  <si>
    <t>ebc-520G_1.jpg</t>
  </si>
  <si>
    <t>ebc-CK2327_1.jpg</t>
  </si>
  <si>
    <t>ebc-306G_1.jpg</t>
  </si>
  <si>
    <t>ebc-DRC9_1.jpg</t>
  </si>
  <si>
    <t>ebc-CK3450_1.jpg</t>
  </si>
  <si>
    <t>ebc-704_1.jpg</t>
  </si>
  <si>
    <t>ebc-FA677R_1.jpg</t>
  </si>
  <si>
    <t>ebc-CSK249_1.jpg</t>
  </si>
  <si>
    <t>ebc-FA640_1.jpg</t>
  </si>
  <si>
    <t>ebc-CFA614_1.jpg</t>
  </si>
  <si>
    <t>ebc-FA185R_1.jpg</t>
  </si>
  <si>
    <t>ebc-FA320HH_1.jpg</t>
  </si>
  <si>
    <t>ebc-FA140HH_1.jpg</t>
  </si>
  <si>
    <t>ebc-FA368X_1.jpg</t>
  </si>
  <si>
    <t>ebc-CK4514_1.jpg</t>
  </si>
  <si>
    <t>ebc-537_1.jpg</t>
  </si>
  <si>
    <t>ebc-DRC4_1.jpg</t>
  </si>
  <si>
    <t>ebc-MD6254D_1.jpg</t>
  </si>
  <si>
    <t>ebc-FA413SV_1.jpg</t>
  </si>
  <si>
    <t>ebc-MD6189D_1.jpg</t>
  </si>
  <si>
    <t>ebc-MD6356CX_1.jpg</t>
  </si>
  <si>
    <t>ebc-FA714R_1.jpg</t>
  </si>
  <si>
    <t>ebc-MD6221D_1.jpg</t>
  </si>
  <si>
    <t>ebc-CT042_1.jpg</t>
  </si>
  <si>
    <t>ebc-CK1145_1.jpg</t>
  </si>
  <si>
    <t>ebc-CSK142_1.jpg</t>
  </si>
  <si>
    <t>ebc-CK4409_1.jpg</t>
  </si>
  <si>
    <t>ebc-CK3319_1.jpg</t>
  </si>
  <si>
    <t>ebc-FA201_1.jpg</t>
  </si>
  <si>
    <t>ebc-MD2002C_1.jpg</t>
  </si>
  <si>
    <t>ebc-EPFA442/4HH_1.jpg</t>
  </si>
  <si>
    <t>ebc-SRK40_1.jpg</t>
  </si>
  <si>
    <t>ebc-MD6008D_1.jpg</t>
  </si>
  <si>
    <t>ebc-CSK23_1.jpg</t>
  </si>
  <si>
    <t>ebc-FA701R_1.jpg</t>
  </si>
  <si>
    <t>ebc-FA115R_1.jpg</t>
  </si>
  <si>
    <t>ebc-CSK213_1.jpg</t>
  </si>
  <si>
    <t>ebc-CSK33_1.jpg</t>
  </si>
  <si>
    <t>ebc-FA377R_1.jpg</t>
  </si>
  <si>
    <t>ebc-EPFA244HH_1.jpg</t>
  </si>
  <si>
    <t>ebc-534_1.jpg</t>
  </si>
  <si>
    <t>ebc-FA401R_1.jpg</t>
  </si>
  <si>
    <t>ebc-FA216/3V_1.jpg</t>
  </si>
  <si>
    <t>ebc-FA355/4R_1.jpg</t>
  </si>
  <si>
    <t>ebc-CK2315_1.jpg</t>
  </si>
  <si>
    <t>ebc-MD6418C_1.jpg</t>
  </si>
  <si>
    <t>ebc-SFA213_1.jpg</t>
  </si>
  <si>
    <t>ebc-CK2332_1.jpg</t>
  </si>
  <si>
    <t>ebc-CK4475_1.jpg</t>
  </si>
  <si>
    <t>ebc-CSK46_1.jpg</t>
  </si>
  <si>
    <t>ebc-FA71V_1.jpg</t>
  </si>
  <si>
    <t>ebc-CK2318_1.jpg</t>
  </si>
  <si>
    <t>ebc-SFA193HH_1.jpg</t>
  </si>
  <si>
    <t>ebc-MD6232D_1.jpg</t>
  </si>
  <si>
    <t>ebc-FA704X_1.jpg</t>
  </si>
  <si>
    <t>ebc-MD6200D_1.jpg</t>
  </si>
  <si>
    <t>ebc-FA47_1.jpg</t>
  </si>
  <si>
    <t>ebc-SRC98_1.jpg</t>
  </si>
  <si>
    <t>ebc-MD4028_1.jpg</t>
  </si>
  <si>
    <t>ebc-MD735RS_1.jpg</t>
  </si>
  <si>
    <t>ebc-MD6421C_1.jpg</t>
  </si>
  <si>
    <t>ebc-SFA305HH_1.jpg</t>
  </si>
  <si>
    <t>ebc-SRC19_1.jpg</t>
  </si>
  <si>
    <t>ebc-CSK184_1.jpg</t>
  </si>
  <si>
    <t>ebc-SRC52_1.jpg</t>
  </si>
  <si>
    <t>ebc-CK2292_1.jpg</t>
  </si>
  <si>
    <t>ebc-DRC44_1.jpg</t>
  </si>
  <si>
    <t>ebc-603G_1.jpg</t>
  </si>
  <si>
    <t>ebc-618G_1.jpg</t>
  </si>
  <si>
    <t>ebc-MD2001X_1.jpg</t>
  </si>
  <si>
    <t>ebc-MD841X_1.jpg</t>
  </si>
  <si>
    <t>ebc-FA128SV_1.jpg</t>
  </si>
  <si>
    <t>ebc-351_1.jpg</t>
  </si>
  <si>
    <t>ebc-705G_1.jpg</t>
  </si>
  <si>
    <t>ebc-CSK214_1.jpg</t>
  </si>
  <si>
    <t>ebc-FA12_1.jpg</t>
  </si>
  <si>
    <t>ebc-FA200V_1.jpg</t>
  </si>
  <si>
    <t>ebc-FA738R_1.jpg</t>
  </si>
  <si>
    <t>ebc-FA684R_1.jpg</t>
  </si>
  <si>
    <t>ebc-FA70V_1.jpg</t>
  </si>
  <si>
    <t>ebc-EPFA188HH_1.jpg</t>
  </si>
  <si>
    <t>ebc-FA672V_1.jpg</t>
  </si>
  <si>
    <t>ebc-FA684X_1.jpg</t>
  </si>
  <si>
    <t>ebc-FA78_1.jpg</t>
  </si>
  <si>
    <t>ebc-FA30V_1.jpg</t>
  </si>
  <si>
    <t>ebc-MD1064_1.jpg</t>
  </si>
  <si>
    <t>ebc-CK5610_1.jpg</t>
  </si>
  <si>
    <t>ebc-DRC108_1.jpg</t>
  </si>
  <si>
    <t>ebc-318_1.jpg</t>
  </si>
  <si>
    <t>ebc-SFA196HH_1.jpg</t>
  </si>
  <si>
    <t>ebc-FA677SV_1.jpg</t>
  </si>
  <si>
    <t>ebc-FA165R_1.jpg</t>
  </si>
  <si>
    <t>ebc-SXR642HH_1.jpg</t>
  </si>
  <si>
    <t>ebc-MD1008_1.jpg</t>
  </si>
  <si>
    <t>ebc-MD3108C_1.jpg</t>
  </si>
  <si>
    <t>ebc-MD6053D_1.jpg</t>
  </si>
  <si>
    <t>ebc-SRK97_1.jpg</t>
  </si>
  <si>
    <t>ebc-MD2076_1.jpg</t>
  </si>
  <si>
    <t>ebc-SFA197HH_1.jpg</t>
  </si>
  <si>
    <t>ebc-FA152/2R_1.jpg</t>
  </si>
  <si>
    <t>ebc-307_1.jpg</t>
  </si>
  <si>
    <t>ebc-DRC277_1.jpg</t>
  </si>
  <si>
    <t>ebc-EPFA94HH_1.jpg</t>
  </si>
  <si>
    <t>ebc-CSK109_1.jpg</t>
  </si>
  <si>
    <t>ebc-FA191_1.jpg</t>
  </si>
  <si>
    <t>ebc-SRK143_1.jpg</t>
  </si>
  <si>
    <t>ebc-SFA199HH_1.jpg</t>
  </si>
  <si>
    <t>ebc-SFA412HH_1.jpg</t>
  </si>
  <si>
    <t>ebc-FA36V_1.jpg</t>
  </si>
  <si>
    <t>ebc-FA161_1.jpg</t>
  </si>
  <si>
    <t>ebc-FA728SV_1.jpg</t>
  </si>
  <si>
    <t>ebc-FA698V_1.jpg</t>
  </si>
  <si>
    <t>ebc-MD4021_1.jpg</t>
  </si>
  <si>
    <t>ebc-CK2274_1.jpg</t>
  </si>
  <si>
    <t>ebc-MD6202D_1.jpg</t>
  </si>
  <si>
    <t>ebc-SFA355/4_1.jpg</t>
  </si>
  <si>
    <t>ebc-FA115HH_1.jpg</t>
  </si>
  <si>
    <t>ebc-MD3089XC_1.jpg</t>
  </si>
  <si>
    <t>ebc-CSK30_1.jpg</t>
  </si>
  <si>
    <t>ebc-FA124HH_1.jpg</t>
  </si>
  <si>
    <t>ebc-FA434HH_1.jpg</t>
  </si>
  <si>
    <t>ebc-FA739SV_1.jpg</t>
  </si>
  <si>
    <t>ebc-FA434V_1.jpg</t>
  </si>
  <si>
    <t>ebc-CSK70_1.jpg</t>
  </si>
  <si>
    <t>ebc-621_1.jpg</t>
  </si>
  <si>
    <t>ebc-DRCF164_1.jpg</t>
  </si>
  <si>
    <t>ebc-FA47R_1.jpg</t>
  </si>
  <si>
    <t>ebc-MD6242D_1.jpg</t>
  </si>
  <si>
    <t>ebc-FA61_1.jpg</t>
  </si>
  <si>
    <t>ebc-DRC109_1.jpg</t>
  </si>
  <si>
    <t>ebc-DRC66_1.jpg</t>
  </si>
  <si>
    <t>ebc-CK4463_1.jpg</t>
  </si>
  <si>
    <t>ebc-RSD020_1.jpg</t>
  </si>
  <si>
    <t>ebc-FA29V_1.jpg</t>
  </si>
  <si>
    <t>ebc-CK1159_1.jpg</t>
  </si>
  <si>
    <t>ebc-617_1.jpg</t>
  </si>
  <si>
    <t>ebc-CT024SP_1.jpg</t>
  </si>
  <si>
    <t>ebc-MD6186D_1.jpg</t>
  </si>
  <si>
    <t>ebc-310_1.jpg</t>
  </si>
  <si>
    <t>ebc-MD6007D_1.jpg</t>
  </si>
  <si>
    <t>ebc-FA409V_1.jpg</t>
  </si>
  <si>
    <t>ebc-SFA209/2_1.jpg</t>
  </si>
  <si>
    <t>ebc-CK4465_1.jpg</t>
  </si>
  <si>
    <t>ebc-FA84SV_1.jpg</t>
  </si>
  <si>
    <t>ebc-CSK145_1.jpg</t>
  </si>
  <si>
    <t>ebc-CK1315_1.jpg</t>
  </si>
  <si>
    <t>ebc-SXR677HH_1.jpg</t>
  </si>
  <si>
    <t>ebc-FA254_1.jpg</t>
  </si>
  <si>
    <t>ebc-CK4419_1.jpg</t>
  </si>
  <si>
    <t>ebc-FA171_1.jpg</t>
  </si>
  <si>
    <t>ebc-FA458HH_1.jpg</t>
  </si>
  <si>
    <t>ebc-MD1021LS_1.jpg</t>
  </si>
  <si>
    <t>ebc-MD6412D_1.jpg</t>
  </si>
  <si>
    <t>ebc-FA413X_1.jpg</t>
  </si>
  <si>
    <t>ebc-FA226_1.jpg</t>
  </si>
  <si>
    <t>ebc-MD4022X_1.jpg</t>
  </si>
  <si>
    <t>ebc-MD530_1.jpg</t>
  </si>
  <si>
    <t>ebc-MD4174X_1.jpg</t>
  </si>
  <si>
    <t>ebc-CSK157_1.jpg</t>
  </si>
  <si>
    <t>ebc-CK5674_1.jpg</t>
  </si>
  <si>
    <t>ebc-FA304_1.jpg</t>
  </si>
  <si>
    <t>ebc-CSK215_1.jpg</t>
  </si>
  <si>
    <t>ebc-CK1285_1.jpg</t>
  </si>
  <si>
    <t>ebc-CSK164_1.jpg</t>
  </si>
  <si>
    <t>ebc-FA407_1.jpg</t>
  </si>
  <si>
    <t>ebc-SFA281_1.jpg</t>
  </si>
  <si>
    <t>ebc-SRC55_1.jpg</t>
  </si>
  <si>
    <t>ebc-FA216/2HH_1.jpg</t>
  </si>
  <si>
    <t>ebc-MD6389CX_1.jpg</t>
  </si>
  <si>
    <t>ebc-CK1218_1.jpg</t>
  </si>
  <si>
    <t>ebc-FA305R_1.jpg</t>
  </si>
  <si>
    <t>ebc-FA104_1.jpg</t>
  </si>
  <si>
    <t>ebc-MD4148_1.jpg</t>
  </si>
  <si>
    <t>ebc-FA488HH_1.jpg</t>
  </si>
  <si>
    <t>ebc-SRK167_1.jpg</t>
  </si>
  <si>
    <t>ebc-SRK93_1.jpg</t>
  </si>
  <si>
    <t>ebc-CK4439_1.jpg</t>
  </si>
  <si>
    <t>ebc-DRC281_1.jpg</t>
  </si>
  <si>
    <t>ebc-DRC128_1.jpg</t>
  </si>
  <si>
    <t>ebc-SRK70_1.jpg</t>
  </si>
  <si>
    <t>ebc-CK2351_1.jpg</t>
  </si>
  <si>
    <t>ebc-CK3387_1.jpg</t>
  </si>
  <si>
    <t>ebc-CT008_1.jpg</t>
  </si>
  <si>
    <t>ebc-MD4155XC_1.jpg</t>
  </si>
  <si>
    <t>ebc-SRC51_1.jpg</t>
  </si>
  <si>
    <t>ebc-CK2370_1.jpg</t>
  </si>
  <si>
    <t>ebc-CK2355_1.jpg</t>
  </si>
  <si>
    <t>ebc-CSK73_1.jpg</t>
  </si>
  <si>
    <t>ebc-MD810C_1.jpg</t>
  </si>
  <si>
    <t>ebc-CSK227_1.jpg</t>
  </si>
  <si>
    <t>ebc-520_1.jpg</t>
  </si>
  <si>
    <t>ebc-CK2306_1.jpg</t>
  </si>
  <si>
    <t>ebc-MD1138X_1.jpg</t>
  </si>
  <si>
    <t>ebc-FA674R_1.jpg</t>
  </si>
  <si>
    <t>ebc-FA88_1.jpg</t>
  </si>
  <si>
    <t>ebc-EPFA261HH_1.jpg</t>
  </si>
  <si>
    <t>ebc-FA342R_1.jpg</t>
  </si>
  <si>
    <t>ebc-CK3335_1.jpg</t>
  </si>
  <si>
    <t>ebc-FA132X_1.jpg</t>
  </si>
  <si>
    <t>ebc-FA460HH_1.jpg</t>
  </si>
  <si>
    <t>ebc-FA172X_1.jpg</t>
  </si>
  <si>
    <t>ebc-FA686R_1.jpg</t>
  </si>
  <si>
    <t>ebc-DRC211_1.jpg</t>
  </si>
  <si>
    <t>ebc-SFA358_1.jpg</t>
  </si>
  <si>
    <t>ebc-CT006_1.jpg</t>
  </si>
  <si>
    <t>ebc-MXS367_1.jpg</t>
  </si>
  <si>
    <t>ebc-FA115_1.jpg</t>
  </si>
  <si>
    <t>ebc-633G_1.jpg</t>
  </si>
  <si>
    <t>ebc-CK1166_1.jpg</t>
  </si>
  <si>
    <t>ebc-MD3104XC_1.jpg</t>
  </si>
  <si>
    <t>ebc-FA432_1.jpg</t>
  </si>
  <si>
    <t>ebc-602_1.jpg</t>
  </si>
  <si>
    <t>ebc-DRC275_1.jpg</t>
  </si>
  <si>
    <t>ebc-FA182_1.jpg</t>
  </si>
  <si>
    <t>ebc-CKF2274_1.jpg</t>
  </si>
  <si>
    <t>ebc-CK2287_1.jpg</t>
  </si>
  <si>
    <t>ebc-DRC26_1.jpg</t>
  </si>
  <si>
    <t>ebc-CSK56_1.jpg</t>
  </si>
  <si>
    <t>ebc-318G_1.jpg</t>
  </si>
  <si>
    <t>ebc-CK2354_1.jpg</t>
  </si>
  <si>
    <t>ebc-MD3044_1.jpg</t>
  </si>
  <si>
    <t>ebc-SRC25_1.jpg</t>
  </si>
  <si>
    <t>ebc-FA77V_1.jpg</t>
  </si>
  <si>
    <t>ebc-FA683R_1.jpg</t>
  </si>
  <si>
    <t>ebc-FA67SV_1.jpg</t>
  </si>
  <si>
    <t>ebc-CK2285_1.jpg</t>
  </si>
  <si>
    <t>ebc-DRC236_1.jpg</t>
  </si>
  <si>
    <t>ebc-SRK87_1.jpg</t>
  </si>
  <si>
    <t>ebc-FA677X_1.jpg</t>
  </si>
  <si>
    <t>ebc-FA704SV_1.jpg</t>
  </si>
  <si>
    <t>ebc-DRC56_1.jpg</t>
  </si>
  <si>
    <t>ebc-503_1.jpg</t>
  </si>
  <si>
    <t>ebc-MD3091X_1.jpg</t>
  </si>
  <si>
    <t>ebc-MD6190C_1.jpg</t>
  </si>
  <si>
    <t>ebc-517G_1.jpg</t>
  </si>
  <si>
    <t>ebc-FA69_1.jpg</t>
  </si>
  <si>
    <t>ebc-MD515_1.jpg</t>
  </si>
  <si>
    <t>ebc-CK4505_1.jpg</t>
  </si>
  <si>
    <t>ebc-CK1222_1.jpg</t>
  </si>
  <si>
    <t>ebc-DRC91_1.jpg</t>
  </si>
  <si>
    <t>ebc-FSD006CBLK_1.jpg</t>
  </si>
  <si>
    <t>ebc-FA197_1.jpg</t>
  </si>
  <si>
    <t>ebc-FA16HH_1.jpg</t>
  </si>
  <si>
    <t>ebc-FA395X_1.jpg</t>
  </si>
  <si>
    <t>ebc-FA672_1.jpg</t>
  </si>
  <si>
    <t>ebc-FA684SV_1.jpg</t>
  </si>
  <si>
    <t>ebc-CK2356_1.jpg</t>
  </si>
  <si>
    <t>ebc-CSK79_1.jpg</t>
  </si>
  <si>
    <t>ebc-MD604LS_1.jpg</t>
  </si>
  <si>
    <t>ebc-616_1.jpg</t>
  </si>
  <si>
    <t>ebc-SRK38_1.jpg</t>
  </si>
  <si>
    <t>ebc-EPFA185HH_1.jpg</t>
  </si>
  <si>
    <t>ebc-CSK102_1.jpg</t>
  </si>
  <si>
    <t>ebc-604_1.jpg</t>
  </si>
  <si>
    <t>ebc-CSK43_1.jpg</t>
  </si>
  <si>
    <t>ebc-FA407HH_1.jpg</t>
  </si>
  <si>
    <t>ebc-MD517_1.jpg</t>
  </si>
  <si>
    <t>ebc-FA726X_1.jpg</t>
  </si>
  <si>
    <t>ebc-FA629_1.jpg</t>
  </si>
  <si>
    <t>ebc-DRC30_1.jpg</t>
  </si>
  <si>
    <t>ebc-CK5599_1.jpg</t>
  </si>
  <si>
    <t>ebc-FA13_1.jpg</t>
  </si>
  <si>
    <t>ebc-FA231_1.jpg</t>
  </si>
  <si>
    <t>ebc-CK4435_1.jpg</t>
  </si>
  <si>
    <t>ebc-MD9103D_1.jpg</t>
  </si>
  <si>
    <t>ebc-CK3372_1.jpg</t>
  </si>
  <si>
    <t>ebc-CT085_1.jpg</t>
  </si>
  <si>
    <t>ebc-SRC77_1.jpg</t>
  </si>
  <si>
    <t>ebc-FA381_1.jpg</t>
  </si>
  <si>
    <t>ebc-CK3386_1.jpg</t>
  </si>
  <si>
    <t>ebc-FA129R_1.jpg</t>
  </si>
  <si>
    <t>ebc-FA413R_1.jpg</t>
  </si>
  <si>
    <t>ebc-FA433/4_1.jpg</t>
  </si>
  <si>
    <t>ebc-DRC148_1.jpg</t>
  </si>
  <si>
    <t>ebc-DRC158_1.jpg</t>
  </si>
  <si>
    <t>ebc-822G_1.jpg</t>
  </si>
  <si>
    <t>ebc-FA344X_1.jpg</t>
  </si>
  <si>
    <t>ebc-CSK105_1.jpg</t>
  </si>
  <si>
    <t>ebc-FA150_1.jpg</t>
  </si>
  <si>
    <t>ebc-FA199_1.jpg</t>
  </si>
  <si>
    <t>ebc-FA630V_1.jpg</t>
  </si>
  <si>
    <t>ebc-SFA169_1.jpg</t>
  </si>
  <si>
    <t>ebc-CSK45_1.jpg</t>
  </si>
  <si>
    <t>ebc-609_1.jpg</t>
  </si>
  <si>
    <t>ebc-SRK7_1.jpg</t>
  </si>
  <si>
    <t>ebc-MD873_1.jpg</t>
  </si>
  <si>
    <t>ebc-SFA252HH_1.jpg</t>
  </si>
  <si>
    <t>ebc-MD6013D_1.jpg</t>
  </si>
  <si>
    <t>ebc-DRC22_1.jpg</t>
  </si>
  <si>
    <t>ebc-CSK120_1.jpg</t>
  </si>
  <si>
    <t>ebc-FA679HH_1.jpg</t>
  </si>
  <si>
    <t>ebc-DRC119_1.jpg</t>
  </si>
  <si>
    <t>ebc-CKF2355_1.jpg</t>
  </si>
  <si>
    <t>ebc-DRC25_1.jpg</t>
  </si>
  <si>
    <t>ebc-MD6032C_1.jpg</t>
  </si>
  <si>
    <t>ebc-FA303X_1.jpg</t>
  </si>
  <si>
    <t>ebc-FA69/2V_1.jpg</t>
  </si>
  <si>
    <t>ebc-711_1.jpg</t>
  </si>
  <si>
    <t>ebc-MD514RS_1.jpg</t>
  </si>
  <si>
    <t>ebc-331_1.jpg</t>
  </si>
  <si>
    <t>ebc-FA104HH_1.jpg</t>
  </si>
  <si>
    <t>ebc-DRCF33_1.jpg</t>
  </si>
  <si>
    <t>ebc-DRC161_1.jpg</t>
  </si>
  <si>
    <t>ebc-FA372SV_1.jpg</t>
  </si>
  <si>
    <t>ebc-SFA256HH_1.jpg</t>
  </si>
  <si>
    <t>ebc-CSK156_1.jpg</t>
  </si>
  <si>
    <t>ebc-SRC24_1.jpg</t>
  </si>
  <si>
    <t>ebc-SRC75_1.jpg</t>
  </si>
  <si>
    <t>ebc-FA612X_1.jpg</t>
  </si>
  <si>
    <t>ebc-FA434_1.jpg</t>
  </si>
  <si>
    <t>ebc-CK2279_1.jpg</t>
  </si>
  <si>
    <t>ebc-FA618SV_1.jpg</t>
  </si>
  <si>
    <t>ebc-FA244V_1.jpg</t>
  </si>
  <si>
    <t>ebc-FA691HH_1.jpg</t>
  </si>
  <si>
    <t>ebc-705_1.jpg</t>
  </si>
  <si>
    <t>ebc-CSK186_1.jpg</t>
  </si>
  <si>
    <t>ebc-803G_1.jpg</t>
  </si>
  <si>
    <t>ebc-FA477X_1.jpg</t>
  </si>
  <si>
    <t>ebc-FA196_1.jpg</t>
  </si>
  <si>
    <t>ebc-MD627_1.jpg</t>
  </si>
  <si>
    <t>ebc-CSK24_1.jpg</t>
  </si>
  <si>
    <t>ebc-SFA607_1.jpg</t>
  </si>
  <si>
    <t>ebc-CK2290_1.jpg</t>
  </si>
  <si>
    <t>ebc-CK3463_1.jpg</t>
  </si>
  <si>
    <t>ebc-323_1.jpg</t>
  </si>
  <si>
    <t>ebc-521_1.jpg</t>
  </si>
  <si>
    <t>ebc-SRK65_1.jpg</t>
  </si>
  <si>
    <t>ebc-FA73_1.jpg</t>
  </si>
  <si>
    <t>ebc-FA16_1.jpg</t>
  </si>
  <si>
    <t>ebc-FA630HH_1.jpg</t>
  </si>
  <si>
    <t>ebc-626_1.jpg</t>
  </si>
  <si>
    <t>ebc-DRC65_1.jpg</t>
  </si>
  <si>
    <t>ebc-FA499/4HH_1.jpg</t>
  </si>
  <si>
    <t>ebc-MD648_1.jpg</t>
  </si>
  <si>
    <t>ebc-CSK3_1.jpg</t>
  </si>
  <si>
    <t>ebc-CSK202_1.jpg</t>
  </si>
  <si>
    <t>ebc-FA134X_1.jpg</t>
  </si>
  <si>
    <t>ebc-FA51V_1.jpg</t>
  </si>
  <si>
    <t>ebc-MD6213D_1.jpg</t>
  </si>
  <si>
    <t>ebc-FA229HH_1.jpg</t>
  </si>
  <si>
    <t>ebc-CSK7_1.jpg</t>
  </si>
  <si>
    <t>ebc-FA129_1.jpg</t>
  </si>
  <si>
    <t>ebc-517_1.jpg</t>
  </si>
  <si>
    <t>ebc-DRC292_1.jpg</t>
  </si>
  <si>
    <t>ebc-CK3356_1.jpg</t>
  </si>
  <si>
    <t>ebc-313_1.jpg</t>
  </si>
  <si>
    <t>ebc-FSD010BLK_1.jpg</t>
  </si>
  <si>
    <t>ebc-CK1148_1.jpg</t>
  </si>
  <si>
    <t>ebc-703_1.jpg</t>
  </si>
  <si>
    <t>ebc-MXS368_1.jpg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</si>
</sst>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0_);[Red]\(0.00\)"/>
  </numFmts>
  <fonts count="8" x14ac:knownFonts="1"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u/>
      <sz val="10"/>
      <color rgb="FF0000FF"/>
      <name val="Calibri"/>
      <family val="2"/>
      <charset val="1"/>
    </font>
    <font>
      <sz val="10"/>
      <name val="Calibri"/>
      <family val="2"/>
      <charset val="1"/>
    </font>
  </fonts>
  <fills count="3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92D050"/>
        </stop>
      </gradient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41" fontId="4" fillId="2" borderId="1" xfId="1" applyFont="1" applyFill="1" applyBorder="1">
      <alignment vertical="center"/>
    </xf>
    <xf numFmtId="49" fontId="6" fillId="0" borderId="0" xfId="0" applyNumberFormat="1" applyFont="1" applyAlignment="1"/>
    <xf numFmtId="176" fontId="7" fillId="0" borderId="0" xfId="0" applyNumberFormat="1" applyFont="1" applyAlignment="1"/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17C700E-E7AA-6593-3634-74BB59B76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4"/>
  <sheetViews>
    <sheetView showGridLines="0" tabSelected="1" defaultGridColor="0" colorId="19" workbookViewId="0">
      <selection activeCell="F9" sqref="F9"/>
    </sheetView>
  </sheetViews>
  <sheetFormatPr defaultRowHeight="13.5" x14ac:dyDescent="0.25"/>
  <cols>
    <col min="1" max="1" width="55.28515625" style="2" bestFit="1" customWidth="1"/>
    <col min="2" max="2" width="9.42578125" style="2" bestFit="1" customWidth="1"/>
    <col min="3" max="3" width="1.7109375" customWidth="1"/>
    <col min="4" max="4" width="10.42578125" customWidth="1"/>
  </cols>
  <sheetData>
    <row r="1" spans="1:4" ht="17.25" x14ac:dyDescent="0.25">
      <c r="A1" s="3" t="s">
        <v>0</v>
      </c>
      <c r="B1" s="3" t="s">
        <v>1</v>
      </c>
      <c r="D1" s="1"/>
    </row>
    <row r="2" spans="1:4" x14ac:dyDescent="0.2">
      <c r="A2" s="4" t="str">
        <f>HYPERLINK("http://cdn.wpsstatic.com/images/full/000b-572a54214d7dd.jpg", "http://cdn.wpsstatic.com/images/full/000b-572a54214d7dd.jpg")</f>
        <v>http://cdn.wpsstatic.com/images/full/000b-572a54214d7dd.jpg</v>
      </c>
      <c r="B2" s="5" t="s">
        <v>2</v>
      </c>
    </row>
    <row r="3" spans="1:4" x14ac:dyDescent="0.2">
      <c r="A3" s="4" t="str">
        <f>HYPERLINK("http://cdn.wpsstatic.com/images/full/0023-572a540ca5451.jpg", "http://cdn.wpsstatic.com/images/full/0023-572a540ca5451.jpg")</f>
        <v>http://cdn.wpsstatic.com/images/full/0023-572a540ca5451.jpg</v>
      </c>
      <c r="B3" s="5" t="s">
        <v>3</v>
      </c>
    </row>
    <row r="4" spans="1:4" x14ac:dyDescent="0.2">
      <c r="A4" s="4" t="str">
        <f>HYPERLINK("http://cdn.wpsstatic.com/images/full/0035-572a525417958.jpg", "http://cdn.wpsstatic.com/images/full/0035-572a525417958.jpg")</f>
        <v>http://cdn.wpsstatic.com/images/full/0035-572a525417958.jpg</v>
      </c>
      <c r="B4" s="5" t="s">
        <v>4</v>
      </c>
    </row>
    <row r="5" spans="1:4" x14ac:dyDescent="0.2">
      <c r="A5" s="4" t="str">
        <f>HYPERLINK("http://cdn.wpsstatic.com/images/full/0035-572a525417958.jpg", "http://cdn.wpsstatic.com/images/full/0035-572a525417958.jpg")</f>
        <v>http://cdn.wpsstatic.com/images/full/0035-572a525417958.jpg</v>
      </c>
      <c r="B5" s="5" t="s">
        <v>5</v>
      </c>
    </row>
    <row r="6" spans="1:4" x14ac:dyDescent="0.2">
      <c r="A6" s="4" t="str">
        <f>HYPERLINK("http://cdn.wpsstatic.com/images/full/0035-572a525417958.jpg", "http://cdn.wpsstatic.com/images/full/0035-572a525417958.jpg")</f>
        <v>http://cdn.wpsstatic.com/images/full/0035-572a525417958.jpg</v>
      </c>
      <c r="B6" s="5" t="s">
        <v>6</v>
      </c>
    </row>
    <row r="7" spans="1:4" x14ac:dyDescent="0.2">
      <c r="A7" s="4" t="str">
        <f>HYPERLINK("http://cdn.wpsstatic.com/images/full/0035-572a525417958.jpg", "http://cdn.wpsstatic.com/images/full/0035-572a525417958.jpg")</f>
        <v>http://cdn.wpsstatic.com/images/full/0035-572a525417958.jpg</v>
      </c>
      <c r="B7" s="5" t="s">
        <v>7</v>
      </c>
    </row>
    <row r="8" spans="1:4" x14ac:dyDescent="0.2">
      <c r="A8" s="4" t="str">
        <f>HYPERLINK("http://cdn.wpsstatic.com/images/full/0035-572a525417958.jpg", "http://cdn.wpsstatic.com/images/full/0035-572a525417958.jpg")</f>
        <v>http://cdn.wpsstatic.com/images/full/0035-572a525417958.jpg</v>
      </c>
      <c r="B8" s="5" t="s">
        <v>8</v>
      </c>
    </row>
    <row r="9" spans="1:4" x14ac:dyDescent="0.2">
      <c r="A9" s="4" t="str">
        <f>HYPERLINK("http://cdn.wpsstatic.com/images/full/0035-572a525417958.jpg", "http://cdn.wpsstatic.com/images/full/0035-572a525417958.jpg")</f>
        <v>http://cdn.wpsstatic.com/images/full/0035-572a525417958.jpg</v>
      </c>
      <c r="B9" s="5" t="s">
        <v>9</v>
      </c>
    </row>
    <row r="10" spans="1:4" x14ac:dyDescent="0.2">
      <c r="A10" s="4" t="str">
        <f>HYPERLINK("http://cdn.wpsstatic.com/images/full/0035-572a525417958.jpg", "http://cdn.wpsstatic.com/images/full/0035-572a525417958.jpg")</f>
        <v>http://cdn.wpsstatic.com/images/full/0035-572a525417958.jpg</v>
      </c>
      <c r="B10" s="5" t="s">
        <v>10</v>
      </c>
    </row>
    <row r="11" spans="1:4" x14ac:dyDescent="0.2">
      <c r="A11" s="4" t="str">
        <f>HYPERLINK("http://cdn.wpsstatic.com/images/full/0035-572a525417958.jpg", "http://cdn.wpsstatic.com/images/full/0035-572a525417958.jpg")</f>
        <v>http://cdn.wpsstatic.com/images/full/0035-572a525417958.jpg</v>
      </c>
      <c r="B11" s="5" t="s">
        <v>11</v>
      </c>
    </row>
    <row r="12" spans="1:4" x14ac:dyDescent="0.2">
      <c r="A12" s="4" t="str">
        <f>HYPERLINK("http://cdn.wpsstatic.com/images/full/0035-572a525417958.jpg", "http://cdn.wpsstatic.com/images/full/0035-572a525417958.jpg")</f>
        <v>http://cdn.wpsstatic.com/images/full/0035-572a525417958.jpg</v>
      </c>
      <c r="B12" s="5" t="s">
        <v>12</v>
      </c>
    </row>
    <row r="13" spans="1:4" x14ac:dyDescent="0.2">
      <c r="A13" s="4" t="str">
        <f>HYPERLINK("http://cdn.wpsstatic.com/images/full/0035-572a525417958.jpg", "http://cdn.wpsstatic.com/images/full/0035-572a525417958.jpg")</f>
        <v>http://cdn.wpsstatic.com/images/full/0035-572a525417958.jpg</v>
      </c>
      <c r="B13" s="5" t="s">
        <v>13</v>
      </c>
    </row>
    <row r="14" spans="1:4" x14ac:dyDescent="0.2">
      <c r="A14" s="4" t="str">
        <f>HYPERLINK("http://cdn.wpsstatic.com/images/full/0035-572a525417958.jpg", "http://cdn.wpsstatic.com/images/full/0035-572a525417958.jpg")</f>
        <v>http://cdn.wpsstatic.com/images/full/0035-572a525417958.jpg</v>
      </c>
      <c r="B14" s="5" t="s">
        <v>14</v>
      </c>
    </row>
    <row r="15" spans="1:4" x14ac:dyDescent="0.2">
      <c r="A15" s="4" t="str">
        <f>HYPERLINK("http://cdn.wpsstatic.com/images/full/0035-572a525417958.jpg", "http://cdn.wpsstatic.com/images/full/0035-572a525417958.jpg")</f>
        <v>http://cdn.wpsstatic.com/images/full/0035-572a525417958.jpg</v>
      </c>
      <c r="B15" s="5" t="s">
        <v>15</v>
      </c>
    </row>
    <row r="16" spans="1:4" x14ac:dyDescent="0.2">
      <c r="A16" s="4" t="str">
        <f>HYPERLINK("http://cdn.wpsstatic.com/images/full/0035-572a525417958.jpg", "http://cdn.wpsstatic.com/images/full/0035-572a525417958.jpg")</f>
        <v>http://cdn.wpsstatic.com/images/full/0035-572a525417958.jpg</v>
      </c>
      <c r="B16" s="5" t="s">
        <v>16</v>
      </c>
    </row>
    <row r="17" spans="1:2" x14ac:dyDescent="0.2">
      <c r="A17" s="4" t="str">
        <f>HYPERLINK("http://cdn.wpsstatic.com/images/full/0035-572a525417958.jpg", "http://cdn.wpsstatic.com/images/full/0035-572a525417958.jpg")</f>
        <v>http://cdn.wpsstatic.com/images/full/0035-572a525417958.jpg</v>
      </c>
      <c r="B17" s="5" t="s">
        <v>17</v>
      </c>
    </row>
    <row r="18" spans="1:2" x14ac:dyDescent="0.2">
      <c r="A18" s="4" t="str">
        <f>HYPERLINK("http://cdn.wpsstatic.com/images/full/0035-572a525417958.jpg", "http://cdn.wpsstatic.com/images/full/0035-572a525417958.jpg")</f>
        <v>http://cdn.wpsstatic.com/images/full/0035-572a525417958.jpg</v>
      </c>
      <c r="B18" s="5" t="s">
        <v>18</v>
      </c>
    </row>
    <row r="19" spans="1:2" x14ac:dyDescent="0.2">
      <c r="A19" s="4" t="str">
        <f>HYPERLINK("http://cdn.wpsstatic.com/images/full/0035-572a525417958.jpg", "http://cdn.wpsstatic.com/images/full/0035-572a525417958.jpg")</f>
        <v>http://cdn.wpsstatic.com/images/full/0035-572a525417958.jpg</v>
      </c>
      <c r="B19" s="5" t="s">
        <v>19</v>
      </c>
    </row>
    <row r="20" spans="1:2" x14ac:dyDescent="0.2">
      <c r="A20" s="4" t="str">
        <f>HYPERLINK("http://cdn.wpsstatic.com/images/full/0035-572a525417958.jpg", "http://cdn.wpsstatic.com/images/full/0035-572a525417958.jpg")</f>
        <v>http://cdn.wpsstatic.com/images/full/0035-572a525417958.jpg</v>
      </c>
      <c r="B20" s="5" t="s">
        <v>20</v>
      </c>
    </row>
    <row r="21" spans="1:2" x14ac:dyDescent="0.2">
      <c r="A21" s="4" t="str">
        <f>HYPERLINK("http://cdn.wpsstatic.com/images/full/0035-572a525417958.jpg", "http://cdn.wpsstatic.com/images/full/0035-572a525417958.jpg")</f>
        <v>http://cdn.wpsstatic.com/images/full/0035-572a525417958.jpg</v>
      </c>
      <c r="B21" s="5" t="s">
        <v>21</v>
      </c>
    </row>
    <row r="22" spans="1:2" x14ac:dyDescent="0.2">
      <c r="A22" s="4" t="str">
        <f>HYPERLINK("http://cdn.wpsstatic.com/images/full/0035-572a525417958.jpg", "http://cdn.wpsstatic.com/images/full/0035-572a525417958.jpg")</f>
        <v>http://cdn.wpsstatic.com/images/full/0035-572a525417958.jpg</v>
      </c>
      <c r="B22" s="5" t="s">
        <v>22</v>
      </c>
    </row>
    <row r="23" spans="1:2" x14ac:dyDescent="0.2">
      <c r="A23" s="4" t="str">
        <f>HYPERLINK("http://cdn.wpsstatic.com/images/full/0035-572a525417958.jpg", "http://cdn.wpsstatic.com/images/full/0035-572a525417958.jpg")</f>
        <v>http://cdn.wpsstatic.com/images/full/0035-572a525417958.jpg</v>
      </c>
      <c r="B23" s="5" t="s">
        <v>23</v>
      </c>
    </row>
    <row r="24" spans="1:2" x14ac:dyDescent="0.2">
      <c r="A24" s="4" t="str">
        <f>HYPERLINK("http://cdn.wpsstatic.com/images/full/0035-5d0299bf613e9.jpg", "http://cdn.wpsstatic.com/images/full/0035-5d0299bf613e9.jpg")</f>
        <v>http://cdn.wpsstatic.com/images/full/0035-5d0299bf613e9.jpg</v>
      </c>
      <c r="B24" s="5" t="s">
        <v>24</v>
      </c>
    </row>
    <row r="25" spans="1:2" x14ac:dyDescent="0.2">
      <c r="A25" s="4" t="str">
        <f>HYPERLINK("http://cdn.wpsstatic.com/images/full/0092-6377f8754e4c1.jpg", "http://cdn.wpsstatic.com/images/full/0092-6377f8754e4c1.jpg")</f>
        <v>http://cdn.wpsstatic.com/images/full/0092-6377f8754e4c1.jpg</v>
      </c>
      <c r="B25" s="5" t="s">
        <v>25</v>
      </c>
    </row>
    <row r="26" spans="1:2" x14ac:dyDescent="0.2">
      <c r="A26" s="4" t="str">
        <f>HYPERLINK("http://cdn.wpsstatic.com/images/full/00a5-572a5566b28a2.jpg", "http://cdn.wpsstatic.com/images/full/00a5-572a5566b28a2.jpg")</f>
        <v>http://cdn.wpsstatic.com/images/full/00a5-572a5566b28a2.jpg</v>
      </c>
      <c r="B26" s="5" t="s">
        <v>26</v>
      </c>
    </row>
    <row r="27" spans="1:2" x14ac:dyDescent="0.2">
      <c r="A27" s="4" t="str">
        <f>HYPERLINK("http://cdn.wpsstatic.com/images/full/00a9-572a547779a5d.jpg", "http://cdn.wpsstatic.com/images/full/00a9-572a547779a5d.jpg")</f>
        <v>http://cdn.wpsstatic.com/images/full/00a9-572a547779a5d.jpg</v>
      </c>
      <c r="B27" s="5" t="s">
        <v>27</v>
      </c>
    </row>
    <row r="28" spans="1:2" x14ac:dyDescent="0.2">
      <c r="A28" s="4" t="str">
        <f>HYPERLINK("http://cdn.wpsstatic.com/images/full/00b0-572a542010d06.jpg", "http://cdn.wpsstatic.com/images/full/00b0-572a542010d06.jpg")</f>
        <v>http://cdn.wpsstatic.com/images/full/00b0-572a542010d06.jpg</v>
      </c>
      <c r="B28" s="5" t="s">
        <v>28</v>
      </c>
    </row>
    <row r="29" spans="1:2" x14ac:dyDescent="0.2">
      <c r="A29" s="4" t="str">
        <f>HYPERLINK("http://cdn.wpsstatic.com/images/full/00e8-5885c21ec8699.jpg", "http://cdn.wpsstatic.com/images/full/00e8-5885c21ec8699.jpg")</f>
        <v>http://cdn.wpsstatic.com/images/full/00e8-5885c21ec8699.jpg</v>
      </c>
      <c r="B29" s="5" t="s">
        <v>29</v>
      </c>
    </row>
    <row r="30" spans="1:2" x14ac:dyDescent="0.2">
      <c r="A30" s="4" t="str">
        <f>HYPERLINK("http://cdn.wpsstatic.com/images/full/00fe-572a53b5bedb1.jpg", "http://cdn.wpsstatic.com/images/full/00fe-572a53b5bedb1.jpg")</f>
        <v>http://cdn.wpsstatic.com/images/full/00fe-572a53b5bedb1.jpg</v>
      </c>
      <c r="B30" s="5" t="s">
        <v>30</v>
      </c>
    </row>
    <row r="31" spans="1:2" x14ac:dyDescent="0.2">
      <c r="A31" s="4" t="str">
        <f>HYPERLINK("http://cdn.wpsstatic.com/images/full/010c-572a53ecb4da6.jpg", "http://cdn.wpsstatic.com/images/full/010c-572a53ecb4da6.jpg")</f>
        <v>http://cdn.wpsstatic.com/images/full/010c-572a53ecb4da6.jpg</v>
      </c>
      <c r="B31" s="5" t="s">
        <v>31</v>
      </c>
    </row>
    <row r="32" spans="1:2" x14ac:dyDescent="0.2">
      <c r="A32" s="4" t="str">
        <f>HYPERLINK("http://cdn.wpsstatic.com/images/full/012f-572a5361ec68a.jpg", "http://cdn.wpsstatic.com/images/full/012f-572a5361ec68a.jpg")</f>
        <v>http://cdn.wpsstatic.com/images/full/012f-572a5361ec68a.jpg</v>
      </c>
      <c r="B32" s="5" t="s">
        <v>32</v>
      </c>
    </row>
    <row r="33" spans="1:2" x14ac:dyDescent="0.2">
      <c r="A33" s="4" t="str">
        <f>HYPERLINK("http://cdn.wpsstatic.com/images/full/0136-572a5364bb0d7.jpg", "http://cdn.wpsstatic.com/images/full/0136-572a5364bb0d7.jpg")</f>
        <v>http://cdn.wpsstatic.com/images/full/0136-572a5364bb0d7.jpg</v>
      </c>
      <c r="B33" s="5" t="s">
        <v>33</v>
      </c>
    </row>
    <row r="34" spans="1:2" x14ac:dyDescent="0.2">
      <c r="A34" s="4" t="str">
        <f>HYPERLINK("http://cdn.wpsstatic.com/images/full/016e-572a54b0df6a3.jpg", "http://cdn.wpsstatic.com/images/full/016e-572a54b0df6a3.jpg")</f>
        <v>http://cdn.wpsstatic.com/images/full/016e-572a54b0df6a3.jpg</v>
      </c>
      <c r="B34" s="5" t="s">
        <v>34</v>
      </c>
    </row>
    <row r="35" spans="1:2" x14ac:dyDescent="0.2">
      <c r="A35" s="4" t="str">
        <f>HYPERLINK("http://cdn.wpsstatic.com/images/full/021b-572a5486aa2bf.jpg", "http://cdn.wpsstatic.com/images/full/021b-572a5486aa2bf.jpg")</f>
        <v>http://cdn.wpsstatic.com/images/full/021b-572a5486aa2bf.jpg</v>
      </c>
      <c r="B35" s="5" t="s">
        <v>35</v>
      </c>
    </row>
    <row r="36" spans="1:2" x14ac:dyDescent="0.2">
      <c r="A36" s="4" t="str">
        <f>HYPERLINK("http://cdn.wpsstatic.com/images/full/024f-572a52606e80f.jpg", "http://cdn.wpsstatic.com/images/full/024f-572a52606e80f.jpg")</f>
        <v>http://cdn.wpsstatic.com/images/full/024f-572a52606e80f.jpg</v>
      </c>
      <c r="B36" s="5" t="s">
        <v>36</v>
      </c>
    </row>
    <row r="37" spans="1:2" x14ac:dyDescent="0.2">
      <c r="A37" s="4" t="str">
        <f>HYPERLINK("http://cdn.wpsstatic.com/images/full/0258-572a53e0bdc46.jpg", "http://cdn.wpsstatic.com/images/full/0258-572a53e0bdc46.jpg")</f>
        <v>http://cdn.wpsstatic.com/images/full/0258-572a53e0bdc46.jpg</v>
      </c>
      <c r="B37" s="5" t="s">
        <v>37</v>
      </c>
    </row>
    <row r="38" spans="1:2" x14ac:dyDescent="0.2">
      <c r="A38" s="4" t="str">
        <f>HYPERLINK("http://cdn.wpsstatic.com/images/full/0270-572a54ae426c7.jpg", "http://cdn.wpsstatic.com/images/full/0270-572a54ae426c7.jpg")</f>
        <v>http://cdn.wpsstatic.com/images/full/0270-572a54ae426c7.jpg</v>
      </c>
      <c r="B38" s="5" t="s">
        <v>38</v>
      </c>
    </row>
    <row r="39" spans="1:2" x14ac:dyDescent="0.2">
      <c r="A39" s="4" t="str">
        <f>HYPERLINK("http://cdn.wpsstatic.com/images/full/0282-5d028ff648b22.jpg", "http://cdn.wpsstatic.com/images/full/0282-5d028ff648b22.jpg")</f>
        <v>http://cdn.wpsstatic.com/images/full/0282-5d028ff648b22.jpg</v>
      </c>
      <c r="B39" s="5" t="s">
        <v>39</v>
      </c>
    </row>
    <row r="40" spans="1:2" x14ac:dyDescent="0.2">
      <c r="A40" s="4" t="str">
        <f>HYPERLINK("http://cdn.wpsstatic.com/images/full/02b0-572a542451f87.jpg", "http://cdn.wpsstatic.com/images/full/02b0-572a542451f87.jpg")</f>
        <v>http://cdn.wpsstatic.com/images/full/02b0-572a542451f87.jpg</v>
      </c>
      <c r="B40" s="5" t="s">
        <v>40</v>
      </c>
    </row>
    <row r="41" spans="1:2" x14ac:dyDescent="0.2">
      <c r="A41" s="4" t="str">
        <f>HYPERLINK("http://cdn.wpsstatic.com/images/full/02b1-5d028b04d906e.jpg", "http://cdn.wpsstatic.com/images/full/02b1-5d028b04d906e.jpg")</f>
        <v>http://cdn.wpsstatic.com/images/full/02b1-5d028b04d906e.jpg</v>
      </c>
      <c r="B41" s="5" t="s">
        <v>41</v>
      </c>
    </row>
    <row r="42" spans="1:2" x14ac:dyDescent="0.2">
      <c r="A42" s="4" t="str">
        <f>HYPERLINK("http://cdn.wpsstatic.com/images/full/02b4-572a5343f27ff.jpg", "http://cdn.wpsstatic.com/images/full/02b4-572a5343f27ff.jpg")</f>
        <v>http://cdn.wpsstatic.com/images/full/02b4-572a5343f27ff.jpg</v>
      </c>
      <c r="B42" s="5" t="s">
        <v>42</v>
      </c>
    </row>
    <row r="43" spans="1:2" x14ac:dyDescent="0.2">
      <c r="A43" s="4" t="str">
        <f>HYPERLINK("http://cdn.wpsstatic.com/images/full/02bc-572a527d5a55a.jpg", "http://cdn.wpsstatic.com/images/full/02bc-572a527d5a55a.jpg")</f>
        <v>http://cdn.wpsstatic.com/images/full/02bc-572a527d5a55a.jpg</v>
      </c>
      <c r="B43" s="5" t="s">
        <v>43</v>
      </c>
    </row>
    <row r="44" spans="1:2" x14ac:dyDescent="0.2">
      <c r="A44" s="4" t="str">
        <f>HYPERLINK("http://cdn.wpsstatic.com/images/full/02c1-6114357bc4df4.jpeg", "http://cdn.wpsstatic.com/images/full/02c1-6114357bc4df4.jpeg")</f>
        <v>http://cdn.wpsstatic.com/images/full/02c1-6114357bc4df4.jpeg</v>
      </c>
      <c r="B44" s="5" t="s">
        <v>44</v>
      </c>
    </row>
    <row r="45" spans="1:2" x14ac:dyDescent="0.2">
      <c r="A45" s="4" t="str">
        <f>HYPERLINK("http://cdn.wpsstatic.com/images/full/02d6-572a52aab6ada.jpg", "http://cdn.wpsstatic.com/images/full/02d6-572a52aab6ada.jpg")</f>
        <v>http://cdn.wpsstatic.com/images/full/02d6-572a52aab6ada.jpg</v>
      </c>
      <c r="B45" s="5" t="s">
        <v>45</v>
      </c>
    </row>
    <row r="46" spans="1:2" x14ac:dyDescent="0.2">
      <c r="A46" s="4" t="str">
        <f>HYPERLINK("http://cdn.wpsstatic.com/images/full/030c-572a53d0de76b.jpg", "http://cdn.wpsstatic.com/images/full/030c-572a53d0de76b.jpg")</f>
        <v>http://cdn.wpsstatic.com/images/full/030c-572a53d0de76b.jpg</v>
      </c>
      <c r="B46" s="5" t="s">
        <v>46</v>
      </c>
    </row>
    <row r="47" spans="1:2" x14ac:dyDescent="0.2">
      <c r="A47" s="4" t="str">
        <f>HYPERLINK("http://cdn.wpsstatic.com/images/full/031f-572a531dd3fce.jpg", "http://cdn.wpsstatic.com/images/full/031f-572a531dd3fce.jpg")</f>
        <v>http://cdn.wpsstatic.com/images/full/031f-572a531dd3fce.jpg</v>
      </c>
      <c r="B47" s="5" t="s">
        <v>47</v>
      </c>
    </row>
    <row r="48" spans="1:2" x14ac:dyDescent="0.2">
      <c r="A48" s="4" t="str">
        <f>HYPERLINK("http://cdn.wpsstatic.com/images/full/0392-572a5513eb8f5.jpg", "http://cdn.wpsstatic.com/images/full/0392-572a5513eb8f5.jpg")</f>
        <v>http://cdn.wpsstatic.com/images/full/0392-572a5513eb8f5.jpg</v>
      </c>
      <c r="B48" s="5" t="s">
        <v>48</v>
      </c>
    </row>
    <row r="49" spans="1:2" x14ac:dyDescent="0.2">
      <c r="A49" s="4" t="str">
        <f>HYPERLINK("http://cdn.wpsstatic.com/images/full/03ac-572a56474917a.jpg", "http://cdn.wpsstatic.com/images/full/03ac-572a56474917a.jpg")</f>
        <v>http://cdn.wpsstatic.com/images/full/03ac-572a56474917a.jpg</v>
      </c>
      <c r="B49" s="5" t="s">
        <v>49</v>
      </c>
    </row>
    <row r="50" spans="1:2" x14ac:dyDescent="0.2">
      <c r="A50" s="4" t="str">
        <f>HYPERLINK("http://cdn.wpsstatic.com/images/full/03dc-5885c2a89b22b.jpg", "http://cdn.wpsstatic.com/images/full/03dc-5885c2a89b22b.jpg")</f>
        <v>http://cdn.wpsstatic.com/images/full/03dc-5885c2a89b22b.jpg</v>
      </c>
      <c r="B50" s="5" t="s">
        <v>50</v>
      </c>
    </row>
    <row r="51" spans="1:2" x14ac:dyDescent="0.2">
      <c r="A51" s="4" t="str">
        <f>HYPERLINK("http://cdn.wpsstatic.com/images/full/0408-5d7902e99256f.jpg", "http://cdn.wpsstatic.com/images/full/0408-5d7902e99256f.jpg")</f>
        <v>http://cdn.wpsstatic.com/images/full/0408-5d7902e99256f.jpg</v>
      </c>
      <c r="B51" s="5" t="s">
        <v>51</v>
      </c>
    </row>
    <row r="52" spans="1:2" x14ac:dyDescent="0.2">
      <c r="A52" s="4" t="str">
        <f>HYPERLINK("http://cdn.wpsstatic.com/images/full/0409-5885c1fd2ea74.jpg", "http://cdn.wpsstatic.com/images/full/0409-5885c1fd2ea74.jpg")</f>
        <v>http://cdn.wpsstatic.com/images/full/0409-5885c1fd2ea74.jpg</v>
      </c>
      <c r="B52" s="5" t="s">
        <v>52</v>
      </c>
    </row>
    <row r="53" spans="1:2" x14ac:dyDescent="0.2">
      <c r="A53" s="4" t="str">
        <f>HYPERLINK("http://cdn.wpsstatic.com/images/full/0415-572a55a75f89b.jpg", "http://cdn.wpsstatic.com/images/full/0415-572a55a75f89b.jpg")</f>
        <v>http://cdn.wpsstatic.com/images/full/0415-572a55a75f89b.jpg</v>
      </c>
      <c r="B53" s="5" t="s">
        <v>53</v>
      </c>
    </row>
    <row r="54" spans="1:2" x14ac:dyDescent="0.2">
      <c r="A54" s="4" t="str">
        <f>HYPERLINK("http://cdn.wpsstatic.com/images/full/0445-572a750469b17.jpg", "http://cdn.wpsstatic.com/images/full/0445-572a750469b17.jpg")</f>
        <v>http://cdn.wpsstatic.com/images/full/0445-572a750469b17.jpg</v>
      </c>
      <c r="B54" s="5" t="s">
        <v>54</v>
      </c>
    </row>
    <row r="55" spans="1:2" x14ac:dyDescent="0.2">
      <c r="A55" s="4" t="str">
        <f>HYPERLINK("http://cdn.wpsstatic.com/images/full/0463-572a54f0bdd4d.jpg", "http://cdn.wpsstatic.com/images/full/0463-572a54f0bdd4d.jpg")</f>
        <v>http://cdn.wpsstatic.com/images/full/0463-572a54f0bdd4d.jpg</v>
      </c>
      <c r="B55" s="5" t="s">
        <v>55</v>
      </c>
    </row>
    <row r="56" spans="1:2" x14ac:dyDescent="0.2">
      <c r="A56" s="4" t="str">
        <f>HYPERLINK("http://cdn.wpsstatic.com/images/full/0474-572a531932104.jpg", "http://cdn.wpsstatic.com/images/full/0474-572a531932104.jpg")</f>
        <v>http://cdn.wpsstatic.com/images/full/0474-572a531932104.jpg</v>
      </c>
      <c r="B56" s="5" t="s">
        <v>56</v>
      </c>
    </row>
    <row r="57" spans="1:2" x14ac:dyDescent="0.2">
      <c r="A57" s="4" t="str">
        <f>HYPERLINK("http://cdn.wpsstatic.com/images/full/047d-572a529cc68e8.jpg", "http://cdn.wpsstatic.com/images/full/047d-572a529cc68e8.jpg")</f>
        <v>http://cdn.wpsstatic.com/images/full/047d-572a529cc68e8.jpg</v>
      </c>
      <c r="B57" s="5" t="s">
        <v>57</v>
      </c>
    </row>
    <row r="58" spans="1:2" x14ac:dyDescent="0.2">
      <c r="A58" s="4" t="str">
        <f>HYPERLINK("http://cdn.wpsstatic.com/images/full/0481-60a6ac3aeca8d.png", "http://cdn.wpsstatic.com/images/full/0481-60a6ac3aeca8d.png")</f>
        <v>http://cdn.wpsstatic.com/images/full/0481-60a6ac3aeca8d.png</v>
      </c>
      <c r="B58" s="5" t="s">
        <v>58</v>
      </c>
    </row>
    <row r="59" spans="1:2" x14ac:dyDescent="0.2">
      <c r="A59" s="4" t="str">
        <f>HYPERLINK("http://cdn.wpsstatic.com/images/full/0497-5d79055353a47.jpg", "http://cdn.wpsstatic.com/images/full/0497-5d79055353a47.jpg")</f>
        <v>http://cdn.wpsstatic.com/images/full/0497-5d79055353a47.jpg</v>
      </c>
      <c r="B59" s="5" t="s">
        <v>59</v>
      </c>
    </row>
    <row r="60" spans="1:2" x14ac:dyDescent="0.2">
      <c r="A60" s="4" t="str">
        <f>HYPERLINK("http://cdn.wpsstatic.com/images/full/049a-5d02902925e81.jpg", "http://cdn.wpsstatic.com/images/full/049a-5d02902925e81.jpg")</f>
        <v>http://cdn.wpsstatic.com/images/full/049a-5d02902925e81.jpg</v>
      </c>
      <c r="B60" s="5" t="s">
        <v>60</v>
      </c>
    </row>
    <row r="61" spans="1:2" x14ac:dyDescent="0.2">
      <c r="A61" s="4" t="str">
        <f>HYPERLINK("http://cdn.wpsstatic.com/images/full/04ad-572a551d39873.jpg", "http://cdn.wpsstatic.com/images/full/04ad-572a551d39873.jpg")</f>
        <v>http://cdn.wpsstatic.com/images/full/04ad-572a551d39873.jpg</v>
      </c>
      <c r="B61" s="5" t="s">
        <v>61</v>
      </c>
    </row>
    <row r="62" spans="1:2" x14ac:dyDescent="0.2">
      <c r="A62" s="4" t="str">
        <f>HYPERLINK("http://cdn.wpsstatic.com/images/full/04b9-660426c48c724.png", "http://cdn.wpsstatic.com/images/full/04b9-660426c48c724.png")</f>
        <v>http://cdn.wpsstatic.com/images/full/04b9-660426c48c724.png</v>
      </c>
      <c r="B62" s="5" t="s">
        <v>62</v>
      </c>
    </row>
    <row r="63" spans="1:2" x14ac:dyDescent="0.2">
      <c r="A63" s="4" t="str">
        <f>HYPERLINK("http://cdn.wpsstatic.com/images/full/0505-5f57b8c10c0dc.jpg", "http://cdn.wpsstatic.com/images/full/0505-5f57b8c10c0dc.jpg")</f>
        <v>http://cdn.wpsstatic.com/images/full/0505-5f57b8c10c0dc.jpg</v>
      </c>
      <c r="B63" s="5" t="s">
        <v>63</v>
      </c>
    </row>
    <row r="64" spans="1:2" x14ac:dyDescent="0.2">
      <c r="A64" s="4" t="str">
        <f>HYPERLINK("http://cdn.wpsstatic.com/images/full/0531-5ecd3c356ab6f.jpg", "http://cdn.wpsstatic.com/images/full/0531-5ecd3c356ab6f.jpg")</f>
        <v>http://cdn.wpsstatic.com/images/full/0531-5ecd3c356ab6f.jpg</v>
      </c>
      <c r="B64" s="5" t="s">
        <v>64</v>
      </c>
    </row>
    <row r="65" spans="1:2" x14ac:dyDescent="0.2">
      <c r="A65" s="4" t="str">
        <f>HYPERLINK("http://cdn.wpsstatic.com/images/full/0567-572a5473dc45f.jpg", "http://cdn.wpsstatic.com/images/full/0567-572a5473dc45f.jpg")</f>
        <v>http://cdn.wpsstatic.com/images/full/0567-572a5473dc45f.jpg</v>
      </c>
      <c r="B65" s="5" t="s">
        <v>65</v>
      </c>
    </row>
    <row r="66" spans="1:2" x14ac:dyDescent="0.2">
      <c r="A66" s="4" t="str">
        <f>HYPERLINK("http://cdn.wpsstatic.com/images/full/058a-572a533e8820c.jpg", "http://cdn.wpsstatic.com/images/full/058a-572a533e8820c.jpg")</f>
        <v>http://cdn.wpsstatic.com/images/full/058a-572a533e8820c.jpg</v>
      </c>
      <c r="B66" s="5" t="s">
        <v>66</v>
      </c>
    </row>
    <row r="67" spans="1:2" x14ac:dyDescent="0.2">
      <c r="A67" s="4" t="str">
        <f>HYPERLINK("http://cdn.wpsstatic.com/images/full/05ba-572a54ba40574.jpg", "http://cdn.wpsstatic.com/images/full/05ba-572a54ba40574.jpg")</f>
        <v>http://cdn.wpsstatic.com/images/full/05ba-572a54ba40574.jpg</v>
      </c>
      <c r="B67" s="5" t="s">
        <v>67</v>
      </c>
    </row>
    <row r="68" spans="1:2" x14ac:dyDescent="0.2">
      <c r="A68" s="4" t="str">
        <f>HYPERLINK("http://cdn.wpsstatic.com/images/full/05c5-572a545e8145d.jpg", "http://cdn.wpsstatic.com/images/full/05c5-572a545e8145d.jpg")</f>
        <v>http://cdn.wpsstatic.com/images/full/05c5-572a545e8145d.jpg</v>
      </c>
      <c r="B68" s="5" t="s">
        <v>68</v>
      </c>
    </row>
    <row r="69" spans="1:2" x14ac:dyDescent="0.2">
      <c r="A69" s="4" t="str">
        <f>HYPERLINK("http://cdn.wpsstatic.com/images/full/05f0-572a5381b7d2e.jpg", "http://cdn.wpsstatic.com/images/full/05f0-572a5381b7d2e.jpg")</f>
        <v>http://cdn.wpsstatic.com/images/full/05f0-572a5381b7d2e.jpg</v>
      </c>
      <c r="B69" s="5" t="s">
        <v>69</v>
      </c>
    </row>
    <row r="70" spans="1:2" x14ac:dyDescent="0.2">
      <c r="A70" s="4" t="str">
        <f>HYPERLINK("http://cdn.wpsstatic.com/images/full/05f7-572a53e28f45a.jpg", "http://cdn.wpsstatic.com/images/full/05f7-572a53e28f45a.jpg")</f>
        <v>http://cdn.wpsstatic.com/images/full/05f7-572a53e28f45a.jpg</v>
      </c>
      <c r="B70" s="5" t="s">
        <v>70</v>
      </c>
    </row>
    <row r="71" spans="1:2" x14ac:dyDescent="0.2">
      <c r="A71" s="4" t="str">
        <f>HYPERLINK("http://cdn.wpsstatic.com/images/full/0618-572a54b4e2cf7.jpg", "http://cdn.wpsstatic.com/images/full/0618-572a54b4e2cf7.jpg")</f>
        <v>http://cdn.wpsstatic.com/images/full/0618-572a54b4e2cf7.jpg</v>
      </c>
      <c r="B71" s="5" t="s">
        <v>71</v>
      </c>
    </row>
    <row r="72" spans="1:2" x14ac:dyDescent="0.2">
      <c r="A72" s="4" t="str">
        <f>HYPERLINK("http://cdn.wpsstatic.com/images/full/0627-63643b2888d23.png", "http://cdn.wpsstatic.com/images/full/0627-63643b2888d23.png")</f>
        <v>http://cdn.wpsstatic.com/images/full/0627-63643b2888d23.png</v>
      </c>
      <c r="B72" s="5" t="s">
        <v>72</v>
      </c>
    </row>
    <row r="73" spans="1:2" x14ac:dyDescent="0.2">
      <c r="A73" s="4" t="str">
        <f>HYPERLINK("http://cdn.wpsstatic.com/images/full/0630-572a54c85b480.jpg", "http://cdn.wpsstatic.com/images/full/0630-572a54c85b480.jpg")</f>
        <v>http://cdn.wpsstatic.com/images/full/0630-572a54c85b480.jpg</v>
      </c>
      <c r="B73" s="5" t="s">
        <v>73</v>
      </c>
    </row>
    <row r="74" spans="1:2" x14ac:dyDescent="0.2">
      <c r="A74" s="4" t="str">
        <f>HYPERLINK("http://cdn.wpsstatic.com/images/full/064c-572a562753b6e.jpg", "http://cdn.wpsstatic.com/images/full/064c-572a562753b6e.jpg")</f>
        <v>http://cdn.wpsstatic.com/images/full/064c-572a562753b6e.jpg</v>
      </c>
      <c r="B74" s="5" t="s">
        <v>74</v>
      </c>
    </row>
    <row r="75" spans="1:2" x14ac:dyDescent="0.2">
      <c r="A75" s="4" t="str">
        <f>HYPERLINK("http://cdn.wpsstatic.com/images/full/0652-572a53ce3ae56.jpg", "http://cdn.wpsstatic.com/images/full/0652-572a53ce3ae56.jpg")</f>
        <v>http://cdn.wpsstatic.com/images/full/0652-572a53ce3ae56.jpg</v>
      </c>
      <c r="B75" s="5" t="s">
        <v>75</v>
      </c>
    </row>
    <row r="76" spans="1:2" x14ac:dyDescent="0.2">
      <c r="A76" s="4" t="str">
        <f>HYPERLINK("http://cdn.wpsstatic.com/images/full/0667-572a55a9297db.jpg", "http://cdn.wpsstatic.com/images/full/0667-572a55a9297db.jpg")</f>
        <v>http://cdn.wpsstatic.com/images/full/0667-572a55a9297db.jpg</v>
      </c>
      <c r="B76" s="5" t="s">
        <v>76</v>
      </c>
    </row>
    <row r="77" spans="1:2" x14ac:dyDescent="0.2">
      <c r="A77" s="4" t="str">
        <f>HYPERLINK("http://cdn.wpsstatic.com/images/full/0681-572a5429356f5.jpg", "http://cdn.wpsstatic.com/images/full/0681-572a5429356f5.jpg")</f>
        <v>http://cdn.wpsstatic.com/images/full/0681-572a5429356f5.jpg</v>
      </c>
      <c r="B77" s="5" t="s">
        <v>77</v>
      </c>
    </row>
    <row r="78" spans="1:2" x14ac:dyDescent="0.2">
      <c r="A78" s="4" t="str">
        <f>HYPERLINK("http://cdn.wpsstatic.com/images/full/068c-5fb44ae46d89a.jpg", "http://cdn.wpsstatic.com/images/full/068c-5fb44ae46d89a.jpg")</f>
        <v>http://cdn.wpsstatic.com/images/full/068c-5fb44ae46d89a.jpg</v>
      </c>
      <c r="B78" s="5" t="s">
        <v>78</v>
      </c>
    </row>
    <row r="79" spans="1:2" x14ac:dyDescent="0.2">
      <c r="A79" s="4" t="str">
        <f>HYPERLINK("http://cdn.wpsstatic.com/images/full/0691-5f578b60989cb.jpg", "http://cdn.wpsstatic.com/images/full/0691-5f578b60989cb.jpg")</f>
        <v>http://cdn.wpsstatic.com/images/full/0691-5f578b60989cb.jpg</v>
      </c>
      <c r="B79" s="5" t="s">
        <v>79</v>
      </c>
    </row>
    <row r="80" spans="1:2" x14ac:dyDescent="0.2">
      <c r="A80" s="4" t="str">
        <f>HYPERLINK("http://cdn.wpsstatic.com/images/full/06f1-5cd2ef7f8ee2b.jpg", "http://cdn.wpsstatic.com/images/full/06f1-5cd2ef7f8ee2b.jpg")</f>
        <v>http://cdn.wpsstatic.com/images/full/06f1-5cd2ef7f8ee2b.jpg</v>
      </c>
      <c r="B80" s="5" t="s">
        <v>80</v>
      </c>
    </row>
    <row r="81" spans="1:2" x14ac:dyDescent="0.2">
      <c r="A81" s="4" t="str">
        <f>HYPERLINK("http://cdn.wpsstatic.com/images/full/072d-5f579cf271a6d.jpg", "http://cdn.wpsstatic.com/images/full/072d-5f579cf271a6d.jpg")</f>
        <v>http://cdn.wpsstatic.com/images/full/072d-5f579cf271a6d.jpg</v>
      </c>
      <c r="B81" s="5" t="s">
        <v>81</v>
      </c>
    </row>
    <row r="82" spans="1:2" x14ac:dyDescent="0.2">
      <c r="A82" s="4" t="str">
        <f>HYPERLINK("http://cdn.wpsstatic.com/images/full/0739-572a5339deb97.jpg", "http://cdn.wpsstatic.com/images/full/0739-572a5339deb97.jpg")</f>
        <v>http://cdn.wpsstatic.com/images/full/0739-572a5339deb97.jpg</v>
      </c>
      <c r="B82" s="5" t="s">
        <v>82</v>
      </c>
    </row>
    <row r="83" spans="1:2" x14ac:dyDescent="0.2">
      <c r="A83" s="4" t="str">
        <f>HYPERLINK("http://cdn.wpsstatic.com/images/full/0748-572a5315df21d.jpg", "http://cdn.wpsstatic.com/images/full/0748-572a5315df21d.jpg")</f>
        <v>http://cdn.wpsstatic.com/images/full/0748-572a5315df21d.jpg</v>
      </c>
      <c r="B83" s="5" t="s">
        <v>83</v>
      </c>
    </row>
    <row r="84" spans="1:2" x14ac:dyDescent="0.2">
      <c r="A84" s="4" t="str">
        <f>HYPERLINK("http://cdn.wpsstatic.com/images/full/074c-572a53254c9f3.jpg", "http://cdn.wpsstatic.com/images/full/074c-572a53254c9f3.jpg")</f>
        <v>http://cdn.wpsstatic.com/images/full/074c-572a53254c9f3.jpg</v>
      </c>
      <c r="B84" s="5" t="s">
        <v>84</v>
      </c>
    </row>
    <row r="85" spans="1:2" x14ac:dyDescent="0.2">
      <c r="A85" s="4" t="str">
        <f>HYPERLINK("http://cdn.wpsstatic.com/images/full/07bf-572a543467ca8.jpg", "http://cdn.wpsstatic.com/images/full/07bf-572a543467ca8.jpg")</f>
        <v>http://cdn.wpsstatic.com/images/full/07bf-572a543467ca8.jpg</v>
      </c>
      <c r="B85" s="5" t="s">
        <v>85</v>
      </c>
    </row>
    <row r="86" spans="1:2" x14ac:dyDescent="0.2">
      <c r="A86" s="4" t="str">
        <f>HYPERLINK("http://cdn.wpsstatic.com/images/full/080d-60a6ab40187a4.png", "http://cdn.wpsstatic.com/images/full/080d-60a6ab40187a4.png")</f>
        <v>http://cdn.wpsstatic.com/images/full/080d-60a6ab40187a4.png</v>
      </c>
      <c r="B86" s="5" t="s">
        <v>86</v>
      </c>
    </row>
    <row r="87" spans="1:2" x14ac:dyDescent="0.2">
      <c r="A87" s="4" t="str">
        <f>HYPERLINK("http://cdn.wpsstatic.com/images/full/0819-572a541e5a20c.jpg", "http://cdn.wpsstatic.com/images/full/0819-572a541e5a20c.jpg")</f>
        <v>http://cdn.wpsstatic.com/images/full/0819-572a541e5a20c.jpg</v>
      </c>
      <c r="B87" s="5" t="s">
        <v>87</v>
      </c>
    </row>
    <row r="88" spans="1:2" x14ac:dyDescent="0.2">
      <c r="A88" s="4" t="str">
        <f>HYPERLINK("http://cdn.wpsstatic.com/images/full/088b-572a52ae5160f.jpg", "http://cdn.wpsstatic.com/images/full/088b-572a52ae5160f.jpg")</f>
        <v>http://cdn.wpsstatic.com/images/full/088b-572a52ae5160f.jpg</v>
      </c>
      <c r="B88" s="5" t="s">
        <v>88</v>
      </c>
    </row>
    <row r="89" spans="1:2" x14ac:dyDescent="0.2">
      <c r="A89" s="4" t="str">
        <f>HYPERLINK("http://cdn.wpsstatic.com/images/full/08e5-572a54d123155.jpg", "http://cdn.wpsstatic.com/images/full/08e5-572a54d123155.jpg")</f>
        <v>http://cdn.wpsstatic.com/images/full/08e5-572a54d123155.jpg</v>
      </c>
      <c r="B89" s="5" t="s">
        <v>89</v>
      </c>
    </row>
    <row r="90" spans="1:2" x14ac:dyDescent="0.2">
      <c r="A90" s="4" t="str">
        <f>HYPERLINK("http://cdn.wpsstatic.com/images/full/090b-572a54bb060d2.jpg", "http://cdn.wpsstatic.com/images/full/090b-572a54bb060d2.jpg")</f>
        <v>http://cdn.wpsstatic.com/images/full/090b-572a54bb060d2.jpg</v>
      </c>
      <c r="B90" s="5" t="s">
        <v>90</v>
      </c>
    </row>
    <row r="91" spans="1:2" x14ac:dyDescent="0.2">
      <c r="A91" s="4" t="str">
        <f>HYPERLINK("http://cdn.wpsstatic.com/images/full/091c-572a5546520ed.jpg", "http://cdn.wpsstatic.com/images/full/091c-572a5546520ed.jpg")</f>
        <v>http://cdn.wpsstatic.com/images/full/091c-572a5546520ed.jpg</v>
      </c>
      <c r="B91" s="5" t="s">
        <v>91</v>
      </c>
    </row>
    <row r="92" spans="1:2" x14ac:dyDescent="0.2">
      <c r="A92" s="4" t="str">
        <f>HYPERLINK("http://cdn.wpsstatic.com/images/full/0921-572a531cb1e58.jpg", "http://cdn.wpsstatic.com/images/full/0921-572a531cb1e58.jpg")</f>
        <v>http://cdn.wpsstatic.com/images/full/0921-572a531cb1e58.jpg</v>
      </c>
      <c r="B92" s="5" t="s">
        <v>92</v>
      </c>
    </row>
    <row r="93" spans="1:2" x14ac:dyDescent="0.2">
      <c r="A93" s="4" t="str">
        <f>HYPERLINK("http://cdn.wpsstatic.com/images/full/093e-5d028dc136e31.jpg", "http://cdn.wpsstatic.com/images/full/093e-5d028dc136e31.jpg")</f>
        <v>http://cdn.wpsstatic.com/images/full/093e-5d028dc136e31.jpg</v>
      </c>
      <c r="B93" s="5" t="s">
        <v>93</v>
      </c>
    </row>
    <row r="94" spans="1:2" x14ac:dyDescent="0.2">
      <c r="A94" s="4" t="str">
        <f>HYPERLINK("http://cdn.wpsstatic.com/images/full/096c-572a5389430e7.jpg", "http://cdn.wpsstatic.com/images/full/096c-572a5389430e7.jpg")</f>
        <v>http://cdn.wpsstatic.com/images/full/096c-572a5389430e7.jpg</v>
      </c>
      <c r="B94" s="5" t="s">
        <v>94</v>
      </c>
    </row>
    <row r="95" spans="1:2" x14ac:dyDescent="0.2">
      <c r="A95" s="4" t="str">
        <f>HYPERLINK("http://cdn.wpsstatic.com/images/full/096f-572a55af4a912.jpg", "http://cdn.wpsstatic.com/images/full/096f-572a55af4a912.jpg")</f>
        <v>http://cdn.wpsstatic.com/images/full/096f-572a55af4a912.jpg</v>
      </c>
      <c r="B95" s="5" t="s">
        <v>95</v>
      </c>
    </row>
    <row r="96" spans="1:2" x14ac:dyDescent="0.2">
      <c r="A96" s="4" t="str">
        <f>HYPERLINK("http://cdn.wpsstatic.com/images/full/0974-572a547f79510.jpg", "http://cdn.wpsstatic.com/images/full/0974-572a547f79510.jpg")</f>
        <v>http://cdn.wpsstatic.com/images/full/0974-572a547f79510.jpg</v>
      </c>
      <c r="B96" s="5" t="s">
        <v>96</v>
      </c>
    </row>
    <row r="97" spans="1:2" x14ac:dyDescent="0.2">
      <c r="A97" s="4" t="str">
        <f>HYPERLINK("http://cdn.wpsstatic.com/images/full/09d7-572a5269d55c5.jpg", "http://cdn.wpsstatic.com/images/full/09d7-572a5269d55c5.jpg")</f>
        <v>http://cdn.wpsstatic.com/images/full/09d7-572a5269d55c5.jpg</v>
      </c>
      <c r="B97" s="5" t="s">
        <v>97</v>
      </c>
    </row>
    <row r="98" spans="1:2" x14ac:dyDescent="0.2">
      <c r="A98" s="4" t="str">
        <f>HYPERLINK("http://cdn.wpsstatic.com/images/full/0a04-572a546789298.jpg", "http://cdn.wpsstatic.com/images/full/0a04-572a546789298.jpg")</f>
        <v>http://cdn.wpsstatic.com/images/full/0a04-572a546789298.jpg</v>
      </c>
      <c r="B98" s="5" t="s">
        <v>98</v>
      </c>
    </row>
    <row r="99" spans="1:2" x14ac:dyDescent="0.2">
      <c r="A99" s="4" t="str">
        <f>HYPERLINK("http://cdn.wpsstatic.com/images/full/0a2e-5d0297159d139.jpg", "http://cdn.wpsstatic.com/images/full/0a2e-5d0297159d139.jpg")</f>
        <v>http://cdn.wpsstatic.com/images/full/0a2e-5d0297159d139.jpg</v>
      </c>
      <c r="B99" s="5" t="s">
        <v>99</v>
      </c>
    </row>
    <row r="100" spans="1:2" x14ac:dyDescent="0.2">
      <c r="A100" s="4" t="str">
        <f>HYPERLINK("http://cdn.wpsstatic.com/images/full/0a33-572a52bd7f541.jpg", "http://cdn.wpsstatic.com/images/full/0a33-572a52bd7f541.jpg")</f>
        <v>http://cdn.wpsstatic.com/images/full/0a33-572a52bd7f541.jpg</v>
      </c>
      <c r="B100" s="5" t="s">
        <v>100</v>
      </c>
    </row>
    <row r="101" spans="1:2" x14ac:dyDescent="0.2">
      <c r="A101" s="4" t="str">
        <f>HYPERLINK("http://cdn.wpsstatic.com/images/full/0aac-572a5598e213e.jpg", "http://cdn.wpsstatic.com/images/full/0aac-572a5598e213e.jpg")</f>
        <v>http://cdn.wpsstatic.com/images/full/0aac-572a5598e213e.jpg</v>
      </c>
      <c r="B101" s="5" t="s">
        <v>101</v>
      </c>
    </row>
    <row r="102" spans="1:2" x14ac:dyDescent="0.2">
      <c r="A102" s="4" t="str">
        <f>HYPERLINK("http://cdn.wpsstatic.com/images/full/0aac-572a5598e213e.jpg", "http://cdn.wpsstatic.com/images/full/0aac-572a5598e213e.jpg")</f>
        <v>http://cdn.wpsstatic.com/images/full/0aac-572a5598e213e.jpg</v>
      </c>
      <c r="B102" s="5" t="s">
        <v>102</v>
      </c>
    </row>
    <row r="103" spans="1:2" x14ac:dyDescent="0.2">
      <c r="A103" s="4" t="str">
        <f>HYPERLINK("http://cdn.wpsstatic.com/images/full/0aac-572a5598e213e.jpg", "http://cdn.wpsstatic.com/images/full/0aac-572a5598e213e.jpg")</f>
        <v>http://cdn.wpsstatic.com/images/full/0aac-572a5598e213e.jpg</v>
      </c>
      <c r="B103" s="5" t="s">
        <v>103</v>
      </c>
    </row>
    <row r="104" spans="1:2" x14ac:dyDescent="0.2">
      <c r="A104" s="4" t="str">
        <f>HYPERLINK("http://cdn.wpsstatic.com/images/full/0aac-572a5598e213e.jpg", "http://cdn.wpsstatic.com/images/full/0aac-572a5598e213e.jpg")</f>
        <v>http://cdn.wpsstatic.com/images/full/0aac-572a5598e213e.jpg</v>
      </c>
      <c r="B104" s="5" t="s">
        <v>104</v>
      </c>
    </row>
    <row r="105" spans="1:2" x14ac:dyDescent="0.2">
      <c r="A105" s="4" t="str">
        <f>HYPERLINK("http://cdn.wpsstatic.com/images/full/0abe-5d028f8dee529.jpg", "http://cdn.wpsstatic.com/images/full/0abe-5d028f8dee529.jpg")</f>
        <v>http://cdn.wpsstatic.com/images/full/0abe-5d028f8dee529.jpg</v>
      </c>
      <c r="B105" s="5" t="s">
        <v>105</v>
      </c>
    </row>
    <row r="106" spans="1:2" x14ac:dyDescent="0.2">
      <c r="A106" s="4" t="str">
        <f>HYPERLINK("http://cdn.wpsstatic.com/images/full/0ad0-572a533203b4e.jpg", "http://cdn.wpsstatic.com/images/full/0ad0-572a533203b4e.jpg")</f>
        <v>http://cdn.wpsstatic.com/images/full/0ad0-572a533203b4e.jpg</v>
      </c>
      <c r="B106" s="5" t="s">
        <v>106</v>
      </c>
    </row>
    <row r="107" spans="1:2" x14ac:dyDescent="0.2">
      <c r="A107" s="4" t="str">
        <f>HYPERLINK("http://cdn.wpsstatic.com/images/full/0b2a-5885c1fea9589.jpg", "http://cdn.wpsstatic.com/images/full/0b2a-5885c1fea9589.jpg")</f>
        <v>http://cdn.wpsstatic.com/images/full/0b2a-5885c1fea9589.jpg</v>
      </c>
      <c r="B107" s="5" t="s">
        <v>107</v>
      </c>
    </row>
    <row r="108" spans="1:2" x14ac:dyDescent="0.2">
      <c r="A108" s="4" t="str">
        <f>HYPERLINK("http://cdn.wpsstatic.com/images/full/0b30-572a5388d43a9.jpg", "http://cdn.wpsstatic.com/images/full/0b30-572a5388d43a9.jpg")</f>
        <v>http://cdn.wpsstatic.com/images/full/0b30-572a5388d43a9.jpg</v>
      </c>
      <c r="B108" s="5" t="s">
        <v>108</v>
      </c>
    </row>
    <row r="109" spans="1:2" x14ac:dyDescent="0.2">
      <c r="A109" s="4" t="str">
        <f>HYPERLINK("http://cdn.wpsstatic.com/images/full/0bb3-572a525b6d576.jpg", "http://cdn.wpsstatic.com/images/full/0bb3-572a525b6d576.jpg")</f>
        <v>http://cdn.wpsstatic.com/images/full/0bb3-572a525b6d576.jpg</v>
      </c>
      <c r="B109" s="5" t="s">
        <v>109</v>
      </c>
    </row>
    <row r="110" spans="1:2" x14ac:dyDescent="0.2">
      <c r="A110" s="4" t="str">
        <f>HYPERLINK("http://cdn.wpsstatic.com/images/full/0bc3-5d790604a8e04.jpg", "http://cdn.wpsstatic.com/images/full/0bc3-5d790604a8e04.jpg")</f>
        <v>http://cdn.wpsstatic.com/images/full/0bc3-5d790604a8e04.jpg</v>
      </c>
      <c r="B110" s="5" t="s">
        <v>110</v>
      </c>
    </row>
    <row r="111" spans="1:2" x14ac:dyDescent="0.2">
      <c r="A111" s="4" t="str">
        <f>HYPERLINK("http://cdn.wpsstatic.com/images/full/0bec-572a537c2a199.jpg", "http://cdn.wpsstatic.com/images/full/0bec-572a537c2a199.jpg")</f>
        <v>http://cdn.wpsstatic.com/images/full/0bec-572a537c2a199.jpg</v>
      </c>
      <c r="B111" s="5" t="s">
        <v>111</v>
      </c>
    </row>
    <row r="112" spans="1:2" x14ac:dyDescent="0.2">
      <c r="A112" s="4" t="str">
        <f>HYPERLINK("http://cdn.wpsstatic.com/images/full/0c29-572a547940a5f.jpg", "http://cdn.wpsstatic.com/images/full/0c29-572a547940a5f.jpg")</f>
        <v>http://cdn.wpsstatic.com/images/full/0c29-572a547940a5f.jpg</v>
      </c>
      <c r="B112" s="5" t="s">
        <v>112</v>
      </c>
    </row>
    <row r="113" spans="1:2" x14ac:dyDescent="0.2">
      <c r="A113" s="4" t="str">
        <f>HYPERLINK("http://cdn.wpsstatic.com/images/full/0c4a-5f57b2ba85fdc.jpg", "http://cdn.wpsstatic.com/images/full/0c4a-5f57b2ba85fdc.jpg")</f>
        <v>http://cdn.wpsstatic.com/images/full/0c4a-5f57b2ba85fdc.jpg</v>
      </c>
      <c r="B113" s="5" t="s">
        <v>113</v>
      </c>
    </row>
    <row r="114" spans="1:2" x14ac:dyDescent="0.2">
      <c r="A114" s="4" t="str">
        <f>HYPERLINK("http://cdn.wpsstatic.com/images/full/0c64-572a543a5b867.jpg", "http://cdn.wpsstatic.com/images/full/0c64-572a543a5b867.jpg")</f>
        <v>http://cdn.wpsstatic.com/images/full/0c64-572a543a5b867.jpg</v>
      </c>
      <c r="B114" s="5" t="s">
        <v>114</v>
      </c>
    </row>
    <row r="115" spans="1:2" x14ac:dyDescent="0.2">
      <c r="A115" s="4" t="str">
        <f>HYPERLINK("http://cdn.wpsstatic.com/images/full/0c97-572a54d774ae9.jpg", "http://cdn.wpsstatic.com/images/full/0c97-572a54d774ae9.jpg")</f>
        <v>http://cdn.wpsstatic.com/images/full/0c97-572a54d774ae9.jpg</v>
      </c>
      <c r="B115" s="5" t="s">
        <v>115</v>
      </c>
    </row>
    <row r="116" spans="1:2" x14ac:dyDescent="0.2">
      <c r="A116" s="4" t="str">
        <f>HYPERLINK("http://cdn.wpsstatic.com/images/full/0d0d-572a534e21b3a.jpg", "http://cdn.wpsstatic.com/images/full/0d0d-572a534e21b3a.jpg")</f>
        <v>http://cdn.wpsstatic.com/images/full/0d0d-572a534e21b3a.jpg</v>
      </c>
      <c r="B116" s="5" t="s">
        <v>116</v>
      </c>
    </row>
    <row r="117" spans="1:2" x14ac:dyDescent="0.2">
      <c r="A117" s="4" t="str">
        <f>HYPERLINK("http://cdn.wpsstatic.com/images/full/0d42-572a543c30688.jpg", "http://cdn.wpsstatic.com/images/full/0d42-572a543c30688.jpg")</f>
        <v>http://cdn.wpsstatic.com/images/full/0d42-572a543c30688.jpg</v>
      </c>
      <c r="B117" s="5" t="s">
        <v>117</v>
      </c>
    </row>
    <row r="118" spans="1:2" x14ac:dyDescent="0.2">
      <c r="A118" s="4" t="str">
        <f>HYPERLINK("http://cdn.wpsstatic.com/images/full/0d81-572a541eec237.jpg", "http://cdn.wpsstatic.com/images/full/0d81-572a541eec237.jpg")</f>
        <v>http://cdn.wpsstatic.com/images/full/0d81-572a541eec237.jpg</v>
      </c>
      <c r="B118" s="5" t="s">
        <v>118</v>
      </c>
    </row>
    <row r="119" spans="1:2" x14ac:dyDescent="0.2">
      <c r="A119" s="4" t="str">
        <f>HYPERLINK("http://cdn.wpsstatic.com/images/full/0dea-572a536e79957.jpg", "http://cdn.wpsstatic.com/images/full/0dea-572a536e79957.jpg")</f>
        <v>http://cdn.wpsstatic.com/images/full/0dea-572a536e79957.jpg</v>
      </c>
      <c r="B119" s="5" t="s">
        <v>119</v>
      </c>
    </row>
    <row r="120" spans="1:2" x14ac:dyDescent="0.2">
      <c r="A120" s="4" t="str">
        <f>HYPERLINK("http://cdn.wpsstatic.com/images/full/0df6-572a5416a9941.jpg", "http://cdn.wpsstatic.com/images/full/0df6-572a5416a9941.jpg")</f>
        <v>http://cdn.wpsstatic.com/images/full/0df6-572a5416a9941.jpg</v>
      </c>
      <c r="B120" s="5" t="s">
        <v>120</v>
      </c>
    </row>
    <row r="121" spans="1:2" x14ac:dyDescent="0.2">
      <c r="A121" s="4" t="str">
        <f>HYPERLINK("http://cdn.wpsstatic.com/images/full/0e75-63643b2888dc9.png", "http://cdn.wpsstatic.com/images/full/0e75-63643b2888dc9.png")</f>
        <v>http://cdn.wpsstatic.com/images/full/0e75-63643b2888dc9.png</v>
      </c>
      <c r="B121" s="5" t="s">
        <v>121</v>
      </c>
    </row>
    <row r="122" spans="1:2" x14ac:dyDescent="0.2">
      <c r="A122" s="4" t="str">
        <f>HYPERLINK("http://cdn.wpsstatic.com/images/full/0ea0-572a525121b24.jpg", "http://cdn.wpsstatic.com/images/full/0ea0-572a525121b24.jpg")</f>
        <v>http://cdn.wpsstatic.com/images/full/0ea0-572a525121b24.jpg</v>
      </c>
      <c r="B122" s="5" t="s">
        <v>122</v>
      </c>
    </row>
    <row r="123" spans="1:2" x14ac:dyDescent="0.2">
      <c r="A123" s="4" t="str">
        <f>HYPERLINK("http://cdn.wpsstatic.com/images/full/0eb2-572a53f48220f.jpg", "http://cdn.wpsstatic.com/images/full/0eb2-572a53f48220f.jpg")</f>
        <v>http://cdn.wpsstatic.com/images/full/0eb2-572a53f48220f.jpg</v>
      </c>
      <c r="B123" s="5" t="s">
        <v>123</v>
      </c>
    </row>
    <row r="124" spans="1:2" x14ac:dyDescent="0.2">
      <c r="A124" s="4" t="str">
        <f>HYPERLINK("http://cdn.wpsstatic.com/images/full/0ecd-572a54e97dfe6.jpg", "http://cdn.wpsstatic.com/images/full/0ecd-572a54e97dfe6.jpg")</f>
        <v>http://cdn.wpsstatic.com/images/full/0ecd-572a54e97dfe6.jpg</v>
      </c>
      <c r="B124" s="5" t="s">
        <v>124</v>
      </c>
    </row>
    <row r="125" spans="1:2" x14ac:dyDescent="0.2">
      <c r="A125" s="4" t="str">
        <f>HYPERLINK("http://cdn.wpsstatic.com/images/full/0ed1-5cca0aa31371f.jpg", "http://cdn.wpsstatic.com/images/full/0ed1-5cca0aa31371f.jpg")</f>
        <v>http://cdn.wpsstatic.com/images/full/0ed1-5cca0aa31371f.jpg</v>
      </c>
      <c r="B125" s="5" t="s">
        <v>125</v>
      </c>
    </row>
    <row r="126" spans="1:2" x14ac:dyDescent="0.2">
      <c r="A126" s="4" t="str">
        <f>HYPERLINK("http://cdn.wpsstatic.com/images/full/0ede-5e023a2501010.jpg", "http://cdn.wpsstatic.com/images/full/0ede-5e023a2501010.jpg")</f>
        <v>http://cdn.wpsstatic.com/images/full/0ede-5e023a2501010.jpg</v>
      </c>
      <c r="B126" s="5" t="s">
        <v>126</v>
      </c>
    </row>
    <row r="127" spans="1:2" x14ac:dyDescent="0.2">
      <c r="A127" s="4" t="str">
        <f>HYPERLINK("http://cdn.wpsstatic.com/images/full/0ef4-572a5271cf02a.jpg", "http://cdn.wpsstatic.com/images/full/0ef4-572a5271cf02a.jpg")</f>
        <v>http://cdn.wpsstatic.com/images/full/0ef4-572a5271cf02a.jpg</v>
      </c>
      <c r="B127" s="5" t="s">
        <v>127</v>
      </c>
    </row>
    <row r="128" spans="1:2" x14ac:dyDescent="0.2">
      <c r="A128" s="4" t="str">
        <f>HYPERLINK("http://cdn.wpsstatic.com/images/full/0f05-5f57a54705fc0.jpg", "http://cdn.wpsstatic.com/images/full/0f05-5f57a54705fc0.jpg")</f>
        <v>http://cdn.wpsstatic.com/images/full/0f05-5f57a54705fc0.jpg</v>
      </c>
      <c r="B128" s="5" t="s">
        <v>128</v>
      </c>
    </row>
    <row r="129" spans="1:2" x14ac:dyDescent="0.2">
      <c r="A129" s="4" t="str">
        <f>HYPERLINK("http://cdn.wpsstatic.com/images/full/0f48-572a54a0100d1.jpg", "http://cdn.wpsstatic.com/images/full/0f48-572a54a0100d1.jpg")</f>
        <v>http://cdn.wpsstatic.com/images/full/0f48-572a54a0100d1.jpg</v>
      </c>
      <c r="B129" s="5" t="s">
        <v>129</v>
      </c>
    </row>
    <row r="130" spans="1:2" x14ac:dyDescent="0.2">
      <c r="A130" s="4" t="str">
        <f>HYPERLINK("http://cdn.wpsstatic.com/images/full/0f59-572a563ddff67.jpg", "http://cdn.wpsstatic.com/images/full/0f59-572a563ddff67.jpg")</f>
        <v>http://cdn.wpsstatic.com/images/full/0f59-572a563ddff67.jpg</v>
      </c>
      <c r="B130" s="5" t="s">
        <v>130</v>
      </c>
    </row>
    <row r="131" spans="1:2" x14ac:dyDescent="0.2">
      <c r="A131" s="4" t="str">
        <f>HYPERLINK("http://cdn.wpsstatic.com/images/full/0f6c-572a53c791f2b.jpg", "http://cdn.wpsstatic.com/images/full/0f6c-572a53c791f2b.jpg")</f>
        <v>http://cdn.wpsstatic.com/images/full/0f6c-572a53c791f2b.jpg</v>
      </c>
      <c r="B131" s="5" t="s">
        <v>131</v>
      </c>
    </row>
    <row r="132" spans="1:2" x14ac:dyDescent="0.2">
      <c r="A132" s="4" t="str">
        <f>HYPERLINK("http://cdn.wpsstatic.com/images/full/0f70-572a54c461913.jpg", "http://cdn.wpsstatic.com/images/full/0f70-572a54c461913.jpg")</f>
        <v>http://cdn.wpsstatic.com/images/full/0f70-572a54c461913.jpg</v>
      </c>
      <c r="B132" s="5" t="s">
        <v>132</v>
      </c>
    </row>
    <row r="133" spans="1:2" x14ac:dyDescent="0.2">
      <c r="A133" s="4" t="str">
        <f>HYPERLINK("http://cdn.wpsstatic.com/images/full/0f7e-572a53e9ea78b.jpg", "http://cdn.wpsstatic.com/images/full/0f7e-572a53e9ea78b.jpg")</f>
        <v>http://cdn.wpsstatic.com/images/full/0f7e-572a53e9ea78b.jpg</v>
      </c>
      <c r="B133" s="5" t="s">
        <v>133</v>
      </c>
    </row>
    <row r="134" spans="1:2" x14ac:dyDescent="0.2">
      <c r="A134" s="4" t="str">
        <f>HYPERLINK("http://cdn.wpsstatic.com/images/full/0f7e-5f57a919db2cf.jpg", "http://cdn.wpsstatic.com/images/full/0f7e-5f57a919db2cf.jpg")</f>
        <v>http://cdn.wpsstatic.com/images/full/0f7e-5f57a919db2cf.jpg</v>
      </c>
      <c r="B134" s="5" t="s">
        <v>134</v>
      </c>
    </row>
    <row r="135" spans="1:2" x14ac:dyDescent="0.2">
      <c r="A135" s="4" t="str">
        <f>HYPERLINK("http://cdn.wpsstatic.com/images/full/0f8c-5d0298528a338.jpg", "http://cdn.wpsstatic.com/images/full/0f8c-5d0298528a338.jpg")</f>
        <v>http://cdn.wpsstatic.com/images/full/0f8c-5d0298528a338.jpg</v>
      </c>
      <c r="B135" s="5" t="s">
        <v>135</v>
      </c>
    </row>
    <row r="136" spans="1:2" x14ac:dyDescent="0.2">
      <c r="A136" s="4" t="str">
        <f>HYPERLINK("http://cdn.wpsstatic.com/images/full/0fa7-5885c264e77cc.jpg", "http://cdn.wpsstatic.com/images/full/0fa7-5885c264e77cc.jpg")</f>
        <v>http://cdn.wpsstatic.com/images/full/0fa7-5885c264e77cc.jpg</v>
      </c>
      <c r="B136" s="5" t="s">
        <v>136</v>
      </c>
    </row>
    <row r="137" spans="1:2" x14ac:dyDescent="0.2">
      <c r="A137" s="4" t="str">
        <f>HYPERLINK("http://cdn.wpsstatic.com/images/full/0fda-572a5360bbbe1.jpg", "http://cdn.wpsstatic.com/images/full/0fda-572a5360bbbe1.jpg")</f>
        <v>http://cdn.wpsstatic.com/images/full/0fda-572a5360bbbe1.jpg</v>
      </c>
      <c r="B137" s="5" t="s">
        <v>137</v>
      </c>
    </row>
    <row r="138" spans="1:2" x14ac:dyDescent="0.2">
      <c r="A138" s="4" t="str">
        <f>HYPERLINK("http://cdn.wpsstatic.com/images/full/0fe2-572a5404c749d.jpg", "http://cdn.wpsstatic.com/images/full/0fe2-572a5404c749d.jpg")</f>
        <v>http://cdn.wpsstatic.com/images/full/0fe2-572a5404c749d.jpg</v>
      </c>
      <c r="B138" s="5" t="s">
        <v>138</v>
      </c>
    </row>
    <row r="139" spans="1:2" x14ac:dyDescent="0.2">
      <c r="A139" s="4" t="str">
        <f>HYPERLINK("http://cdn.wpsstatic.com/images/full/0fe6-572a545f9ebb2.jpg", "http://cdn.wpsstatic.com/images/full/0fe6-572a545f9ebb2.jpg")</f>
        <v>http://cdn.wpsstatic.com/images/full/0fe6-572a545f9ebb2.jpg</v>
      </c>
      <c r="B139" s="5" t="s">
        <v>139</v>
      </c>
    </row>
    <row r="140" spans="1:2" x14ac:dyDescent="0.2">
      <c r="A140" s="4" t="str">
        <f>HYPERLINK("http://cdn.wpsstatic.com/images/full/1032-572a54b575bb9.jpg", "http://cdn.wpsstatic.com/images/full/1032-572a54b575bb9.jpg")</f>
        <v>http://cdn.wpsstatic.com/images/full/1032-572a54b575bb9.jpg</v>
      </c>
      <c r="B140" s="5" t="s">
        <v>140</v>
      </c>
    </row>
    <row r="141" spans="1:2" x14ac:dyDescent="0.2">
      <c r="A141" s="4" t="str">
        <f>HYPERLINK("http://cdn.wpsstatic.com/images/full/1033-5d0297fb1b8fe.jpg", "http://cdn.wpsstatic.com/images/full/1033-5d0297fb1b8fe.jpg")</f>
        <v>http://cdn.wpsstatic.com/images/full/1033-5d0297fb1b8fe.jpg</v>
      </c>
      <c r="B141" s="5" t="s">
        <v>141</v>
      </c>
    </row>
    <row r="142" spans="1:2" x14ac:dyDescent="0.2">
      <c r="A142" s="4" t="str">
        <f>HYPERLINK("http://cdn.wpsstatic.com/images/full/1046-5885c1f97016d.jpg", "http://cdn.wpsstatic.com/images/full/1046-5885c1f97016d.jpg")</f>
        <v>http://cdn.wpsstatic.com/images/full/1046-5885c1f97016d.jpg</v>
      </c>
      <c r="B142" s="5" t="s">
        <v>142</v>
      </c>
    </row>
    <row r="143" spans="1:2" x14ac:dyDescent="0.2">
      <c r="A143" s="4" t="str">
        <f>HYPERLINK("http://cdn.wpsstatic.com/images/full/10b1-5885c1cf77cb0.jpg", "http://cdn.wpsstatic.com/images/full/10b1-5885c1cf77cb0.jpg")</f>
        <v>http://cdn.wpsstatic.com/images/full/10b1-5885c1cf77cb0.jpg</v>
      </c>
      <c r="B143" s="5" t="s">
        <v>143</v>
      </c>
    </row>
    <row r="144" spans="1:2" x14ac:dyDescent="0.2">
      <c r="A144" s="4" t="str">
        <f>HYPERLINK("http://cdn.wpsstatic.com/images/full/10c4-5d0299a6ca6d5.jpg", "http://cdn.wpsstatic.com/images/full/10c4-5d0299a6ca6d5.jpg")</f>
        <v>http://cdn.wpsstatic.com/images/full/10c4-5d0299a6ca6d5.jpg</v>
      </c>
      <c r="B144" s="5" t="s">
        <v>144</v>
      </c>
    </row>
    <row r="145" spans="1:2" x14ac:dyDescent="0.2">
      <c r="A145" s="4" t="str">
        <f>HYPERLINK("http://cdn.wpsstatic.com/images/full/110a-572a562956df4.jpg", "http://cdn.wpsstatic.com/images/full/110a-572a562956df4.jpg")</f>
        <v>http://cdn.wpsstatic.com/images/full/110a-572a562956df4.jpg</v>
      </c>
      <c r="B145" s="5" t="s">
        <v>145</v>
      </c>
    </row>
    <row r="146" spans="1:2" x14ac:dyDescent="0.2">
      <c r="A146" s="4" t="str">
        <f>HYPERLINK("http://cdn.wpsstatic.com/images/full/110b-5fb4460e50b8a.jpg", "http://cdn.wpsstatic.com/images/full/110b-5fb4460e50b8a.jpg")</f>
        <v>http://cdn.wpsstatic.com/images/full/110b-5fb4460e50b8a.jpg</v>
      </c>
      <c r="B146" s="5" t="s">
        <v>146</v>
      </c>
    </row>
    <row r="147" spans="1:2" x14ac:dyDescent="0.2">
      <c r="A147" s="4" t="str">
        <f>HYPERLINK("http://cdn.wpsstatic.com/images/full/112a-5d0296ed64f11.jpg", "http://cdn.wpsstatic.com/images/full/112a-5d0296ed64f11.jpg")</f>
        <v>http://cdn.wpsstatic.com/images/full/112a-5d0296ed64f11.jpg</v>
      </c>
      <c r="B147" s="5" t="s">
        <v>147</v>
      </c>
    </row>
    <row r="148" spans="1:2" x14ac:dyDescent="0.2">
      <c r="A148" s="4" t="str">
        <f>HYPERLINK("http://cdn.wpsstatic.com/images/full/1132-6171d6efe5a7b.png", "http://cdn.wpsstatic.com/images/full/1132-6171d6efe5a7b.png")</f>
        <v>http://cdn.wpsstatic.com/images/full/1132-6171d6efe5a7b.png</v>
      </c>
      <c r="B148" s="5" t="s">
        <v>148</v>
      </c>
    </row>
    <row r="149" spans="1:2" x14ac:dyDescent="0.2">
      <c r="A149" s="4" t="str">
        <f>HYPERLINK("http://cdn.wpsstatic.com/images/full/116a-572a53392768c.jpg", "http://cdn.wpsstatic.com/images/full/116a-572a53392768c.jpg")</f>
        <v>http://cdn.wpsstatic.com/images/full/116a-572a53392768c.jpg</v>
      </c>
      <c r="B149" s="5" t="s">
        <v>149</v>
      </c>
    </row>
    <row r="150" spans="1:2" x14ac:dyDescent="0.2">
      <c r="A150" s="4" t="str">
        <f>HYPERLINK("http://cdn.wpsstatic.com/images/full/1196-5885c23008a7c.jpg", "http://cdn.wpsstatic.com/images/full/1196-5885c23008a7c.jpg")</f>
        <v>http://cdn.wpsstatic.com/images/full/1196-5885c23008a7c.jpg</v>
      </c>
      <c r="B150" s="5" t="s">
        <v>150</v>
      </c>
    </row>
    <row r="151" spans="1:2" x14ac:dyDescent="0.2">
      <c r="A151" s="4" t="str">
        <f>HYPERLINK("http://cdn.wpsstatic.com/images/full/11ad-572a543f60061.jpg", "http://cdn.wpsstatic.com/images/full/11ad-572a543f60061.jpg")</f>
        <v>http://cdn.wpsstatic.com/images/full/11ad-572a543f60061.jpg</v>
      </c>
      <c r="B151" s="5" t="s">
        <v>151</v>
      </c>
    </row>
    <row r="152" spans="1:2" x14ac:dyDescent="0.2">
      <c r="A152" s="4" t="str">
        <f>HYPERLINK("http://cdn.wpsstatic.com/images/full/11e0-572a5561c3689.jpg", "http://cdn.wpsstatic.com/images/full/11e0-572a5561c3689.jpg")</f>
        <v>http://cdn.wpsstatic.com/images/full/11e0-572a5561c3689.jpg</v>
      </c>
      <c r="B152" s="5" t="s">
        <v>152</v>
      </c>
    </row>
    <row r="153" spans="1:2" x14ac:dyDescent="0.2">
      <c r="A153" s="4" t="str">
        <f>HYPERLINK("http://cdn.wpsstatic.com/images/full/11eb-5f578c8693313.jpg", "http://cdn.wpsstatic.com/images/full/11eb-5f578c8693313.jpg")</f>
        <v>http://cdn.wpsstatic.com/images/full/11eb-5f578c8693313.jpg</v>
      </c>
      <c r="B153" s="5" t="s">
        <v>153</v>
      </c>
    </row>
    <row r="154" spans="1:2" x14ac:dyDescent="0.2">
      <c r="A154" s="4" t="str">
        <f>HYPERLINK("http://cdn.wpsstatic.com/images/full/120a-572a54a1e7496.jpg", "http://cdn.wpsstatic.com/images/full/120a-572a54a1e7496.jpg")</f>
        <v>http://cdn.wpsstatic.com/images/full/120a-572a54a1e7496.jpg</v>
      </c>
      <c r="B154" s="5" t="s">
        <v>154</v>
      </c>
    </row>
    <row r="155" spans="1:2" x14ac:dyDescent="0.2">
      <c r="A155" s="4" t="str">
        <f>HYPERLINK("http://cdn.wpsstatic.com/images/full/1257-572a545a78082.jpg", "http://cdn.wpsstatic.com/images/full/1257-572a545a78082.jpg")</f>
        <v>http://cdn.wpsstatic.com/images/full/1257-572a545a78082.jpg</v>
      </c>
      <c r="B155" s="5" t="s">
        <v>155</v>
      </c>
    </row>
    <row r="156" spans="1:2" x14ac:dyDescent="0.2">
      <c r="A156" s="4" t="str">
        <f>HYPERLINK("http://cdn.wpsstatic.com/images/full/1258-572a5345e508c.jpg", "http://cdn.wpsstatic.com/images/full/1258-572a5345e508c.jpg")</f>
        <v>http://cdn.wpsstatic.com/images/full/1258-572a5345e508c.jpg</v>
      </c>
      <c r="B156" s="5" t="s">
        <v>156</v>
      </c>
    </row>
    <row r="157" spans="1:2" x14ac:dyDescent="0.2">
      <c r="A157" s="4" t="str">
        <f>HYPERLINK("http://cdn.wpsstatic.com/images/full/126c-5885c2eed3f71.jpg", "http://cdn.wpsstatic.com/images/full/126c-5885c2eed3f71.jpg")</f>
        <v>http://cdn.wpsstatic.com/images/full/126c-5885c2eed3f71.jpg</v>
      </c>
      <c r="B157" s="5" t="s">
        <v>157</v>
      </c>
    </row>
    <row r="158" spans="1:2" x14ac:dyDescent="0.2">
      <c r="A158" s="4" t="str">
        <f>HYPERLINK("http://cdn.wpsstatic.com/images/full/1279-5bc8baf20cebd.jpg", "http://cdn.wpsstatic.com/images/full/1279-5bc8baf20cebd.jpg")</f>
        <v>http://cdn.wpsstatic.com/images/full/1279-5bc8baf20cebd.jpg</v>
      </c>
      <c r="B158" s="5" t="s">
        <v>158</v>
      </c>
    </row>
    <row r="159" spans="1:2" x14ac:dyDescent="0.2">
      <c r="A159" s="4" t="str">
        <f>HYPERLINK("http://cdn.wpsstatic.com/images/full/1279-5bc8baf20cebd.jpg", "http://cdn.wpsstatic.com/images/full/1279-5bc8baf20cebd.jpg")</f>
        <v>http://cdn.wpsstatic.com/images/full/1279-5bc8baf20cebd.jpg</v>
      </c>
      <c r="B159" s="5" t="s">
        <v>159</v>
      </c>
    </row>
    <row r="160" spans="1:2" x14ac:dyDescent="0.2">
      <c r="A160" s="4" t="str">
        <f>HYPERLINK("http://cdn.wpsstatic.com/images/full/1279-5bc8baf20cebd.jpg", "http://cdn.wpsstatic.com/images/full/1279-5bc8baf20cebd.jpg")</f>
        <v>http://cdn.wpsstatic.com/images/full/1279-5bc8baf20cebd.jpg</v>
      </c>
      <c r="B160" s="5" t="s">
        <v>160</v>
      </c>
    </row>
    <row r="161" spans="1:2" x14ac:dyDescent="0.2">
      <c r="A161" s="4" t="str">
        <f>HYPERLINK("http://cdn.wpsstatic.com/images/full/1279-5bc8baf20cebd.jpg", "http://cdn.wpsstatic.com/images/full/1279-5bc8baf20cebd.jpg")</f>
        <v>http://cdn.wpsstatic.com/images/full/1279-5bc8baf20cebd.jpg</v>
      </c>
      <c r="B161" s="5" t="s">
        <v>161</v>
      </c>
    </row>
    <row r="162" spans="1:2" x14ac:dyDescent="0.2">
      <c r="A162" s="4" t="str">
        <f>HYPERLINK("http://cdn.wpsstatic.com/images/full/1279-5bc8baf20cebd.jpg", "http://cdn.wpsstatic.com/images/full/1279-5bc8baf20cebd.jpg")</f>
        <v>http://cdn.wpsstatic.com/images/full/1279-5bc8baf20cebd.jpg</v>
      </c>
      <c r="B162" s="5" t="s">
        <v>162</v>
      </c>
    </row>
    <row r="163" spans="1:2" x14ac:dyDescent="0.2">
      <c r="A163" s="4" t="str">
        <f>HYPERLINK("http://cdn.wpsstatic.com/images/full/1279-5bc8baf20cebd.jpg", "http://cdn.wpsstatic.com/images/full/1279-5bc8baf20cebd.jpg")</f>
        <v>http://cdn.wpsstatic.com/images/full/1279-5bc8baf20cebd.jpg</v>
      </c>
      <c r="B163" s="5" t="s">
        <v>163</v>
      </c>
    </row>
    <row r="164" spans="1:2" x14ac:dyDescent="0.2">
      <c r="A164" s="4" t="str">
        <f>HYPERLINK("http://cdn.wpsstatic.com/images/full/1279-5bc8baf20cebd.jpg", "http://cdn.wpsstatic.com/images/full/1279-5bc8baf20cebd.jpg")</f>
        <v>http://cdn.wpsstatic.com/images/full/1279-5bc8baf20cebd.jpg</v>
      </c>
      <c r="B164" s="5" t="s">
        <v>164</v>
      </c>
    </row>
    <row r="165" spans="1:2" x14ac:dyDescent="0.2">
      <c r="A165" s="4" t="str">
        <f>HYPERLINK("http://cdn.wpsstatic.com/images/full/1279-5bc8baf20cebd.jpg", "http://cdn.wpsstatic.com/images/full/1279-5bc8baf20cebd.jpg")</f>
        <v>http://cdn.wpsstatic.com/images/full/1279-5bc8baf20cebd.jpg</v>
      </c>
      <c r="B165" s="5" t="s">
        <v>165</v>
      </c>
    </row>
    <row r="166" spans="1:2" x14ac:dyDescent="0.2">
      <c r="A166" s="4" t="str">
        <f>HYPERLINK("http://cdn.wpsstatic.com/images/full/1279-5bc8baf20cebd.jpg", "http://cdn.wpsstatic.com/images/full/1279-5bc8baf20cebd.jpg")</f>
        <v>http://cdn.wpsstatic.com/images/full/1279-5bc8baf20cebd.jpg</v>
      </c>
      <c r="B166" s="5" t="s">
        <v>166</v>
      </c>
    </row>
    <row r="167" spans="1:2" x14ac:dyDescent="0.2">
      <c r="A167" s="4" t="str">
        <f>HYPERLINK("http://cdn.wpsstatic.com/images/full/1279-5bc8baf20cebd.jpg", "http://cdn.wpsstatic.com/images/full/1279-5bc8baf20cebd.jpg")</f>
        <v>http://cdn.wpsstatic.com/images/full/1279-5bc8baf20cebd.jpg</v>
      </c>
      <c r="B167" s="5" t="s">
        <v>167</v>
      </c>
    </row>
    <row r="168" spans="1:2" x14ac:dyDescent="0.2">
      <c r="A168" s="4" t="str">
        <f>HYPERLINK("http://cdn.wpsstatic.com/images/full/1279-5bc8baf20cebd.jpg", "http://cdn.wpsstatic.com/images/full/1279-5bc8baf20cebd.jpg")</f>
        <v>http://cdn.wpsstatic.com/images/full/1279-5bc8baf20cebd.jpg</v>
      </c>
      <c r="B168" s="5" t="s">
        <v>168</v>
      </c>
    </row>
    <row r="169" spans="1:2" x14ac:dyDescent="0.2">
      <c r="A169" s="4" t="str">
        <f>HYPERLINK("http://cdn.wpsstatic.com/images/full/1279-5bc8baf20cebd.jpg", "http://cdn.wpsstatic.com/images/full/1279-5bc8baf20cebd.jpg")</f>
        <v>http://cdn.wpsstatic.com/images/full/1279-5bc8baf20cebd.jpg</v>
      </c>
      <c r="B169" s="5" t="s">
        <v>169</v>
      </c>
    </row>
    <row r="170" spans="1:2" x14ac:dyDescent="0.2">
      <c r="A170" s="4" t="str">
        <f>HYPERLINK("http://cdn.wpsstatic.com/images/full/1279-5bc8baf20cebd.jpg", "http://cdn.wpsstatic.com/images/full/1279-5bc8baf20cebd.jpg")</f>
        <v>http://cdn.wpsstatic.com/images/full/1279-5bc8baf20cebd.jpg</v>
      </c>
      <c r="B170" s="5" t="s">
        <v>170</v>
      </c>
    </row>
    <row r="171" spans="1:2" x14ac:dyDescent="0.2">
      <c r="A171" s="4" t="str">
        <f>HYPERLINK("http://cdn.wpsstatic.com/images/full/1279-5bc8baf20cebd.jpg", "http://cdn.wpsstatic.com/images/full/1279-5bc8baf20cebd.jpg")</f>
        <v>http://cdn.wpsstatic.com/images/full/1279-5bc8baf20cebd.jpg</v>
      </c>
      <c r="B171" s="5" t="s">
        <v>171</v>
      </c>
    </row>
    <row r="172" spans="1:2" x14ac:dyDescent="0.2">
      <c r="A172" s="4" t="str">
        <f>HYPERLINK("http://cdn.wpsstatic.com/images/full/1279-5bc8baf20cebd.jpg", "http://cdn.wpsstatic.com/images/full/1279-5bc8baf20cebd.jpg")</f>
        <v>http://cdn.wpsstatic.com/images/full/1279-5bc8baf20cebd.jpg</v>
      </c>
      <c r="B172" s="5" t="s">
        <v>172</v>
      </c>
    </row>
    <row r="173" spans="1:2" x14ac:dyDescent="0.2">
      <c r="A173" s="4" t="str">
        <f>HYPERLINK("http://cdn.wpsstatic.com/images/full/1279-5bc8baf20cebd.jpg", "http://cdn.wpsstatic.com/images/full/1279-5bc8baf20cebd.jpg")</f>
        <v>http://cdn.wpsstatic.com/images/full/1279-5bc8baf20cebd.jpg</v>
      </c>
      <c r="B173" s="5" t="s">
        <v>173</v>
      </c>
    </row>
    <row r="174" spans="1:2" x14ac:dyDescent="0.2">
      <c r="A174" s="4" t="str">
        <f>HYPERLINK("http://cdn.wpsstatic.com/images/full/1279-5bc8baf20cebd.jpg", "http://cdn.wpsstatic.com/images/full/1279-5bc8baf20cebd.jpg")</f>
        <v>http://cdn.wpsstatic.com/images/full/1279-5bc8baf20cebd.jpg</v>
      </c>
      <c r="B174" s="5" t="s">
        <v>174</v>
      </c>
    </row>
    <row r="175" spans="1:2" x14ac:dyDescent="0.2">
      <c r="A175" s="4" t="str">
        <f>HYPERLINK("http://cdn.wpsstatic.com/images/full/1279-5bc8baf20cebd.jpg", "http://cdn.wpsstatic.com/images/full/1279-5bc8baf20cebd.jpg")</f>
        <v>http://cdn.wpsstatic.com/images/full/1279-5bc8baf20cebd.jpg</v>
      </c>
      <c r="B175" s="5" t="s">
        <v>175</v>
      </c>
    </row>
    <row r="176" spans="1:2" x14ac:dyDescent="0.2">
      <c r="A176" s="4" t="str">
        <f>HYPERLINK("http://cdn.wpsstatic.com/images/full/1279-5bc8baf20cebd.jpg", "http://cdn.wpsstatic.com/images/full/1279-5bc8baf20cebd.jpg")</f>
        <v>http://cdn.wpsstatic.com/images/full/1279-5bc8baf20cebd.jpg</v>
      </c>
      <c r="B176" s="5" t="s">
        <v>176</v>
      </c>
    </row>
    <row r="177" spans="1:2" x14ac:dyDescent="0.2">
      <c r="A177" s="4" t="str">
        <f>HYPERLINK("http://cdn.wpsstatic.com/images/full/1279-5bc8baf20cebd.jpg", "http://cdn.wpsstatic.com/images/full/1279-5bc8baf20cebd.jpg")</f>
        <v>http://cdn.wpsstatic.com/images/full/1279-5bc8baf20cebd.jpg</v>
      </c>
      <c r="B177" s="5" t="s">
        <v>177</v>
      </c>
    </row>
    <row r="178" spans="1:2" x14ac:dyDescent="0.2">
      <c r="A178" s="4" t="str">
        <f>HYPERLINK("http://cdn.wpsstatic.com/images/full/1279-5bc8baf20cebd.jpg", "http://cdn.wpsstatic.com/images/full/1279-5bc8baf20cebd.jpg")</f>
        <v>http://cdn.wpsstatic.com/images/full/1279-5bc8baf20cebd.jpg</v>
      </c>
      <c r="B178" s="5" t="s">
        <v>178</v>
      </c>
    </row>
    <row r="179" spans="1:2" x14ac:dyDescent="0.2">
      <c r="A179" s="4" t="str">
        <f>HYPERLINK("http://cdn.wpsstatic.com/images/full/1279-5bc8baf20cebd.jpg", "http://cdn.wpsstatic.com/images/full/1279-5bc8baf20cebd.jpg")</f>
        <v>http://cdn.wpsstatic.com/images/full/1279-5bc8baf20cebd.jpg</v>
      </c>
      <c r="B179" s="5" t="s">
        <v>179</v>
      </c>
    </row>
    <row r="180" spans="1:2" x14ac:dyDescent="0.2">
      <c r="A180" s="4" t="str">
        <f>HYPERLINK("http://cdn.wpsstatic.com/images/full/1279-5bc8baf20cebd.jpg", "http://cdn.wpsstatic.com/images/full/1279-5bc8baf20cebd.jpg")</f>
        <v>http://cdn.wpsstatic.com/images/full/1279-5bc8baf20cebd.jpg</v>
      </c>
      <c r="B180" s="5" t="s">
        <v>180</v>
      </c>
    </row>
    <row r="181" spans="1:2" x14ac:dyDescent="0.2">
      <c r="A181" s="4" t="str">
        <f>HYPERLINK("http://cdn.wpsstatic.com/images/full/1279-5bc8baf20cebd.jpg", "http://cdn.wpsstatic.com/images/full/1279-5bc8baf20cebd.jpg")</f>
        <v>http://cdn.wpsstatic.com/images/full/1279-5bc8baf20cebd.jpg</v>
      </c>
      <c r="B181" s="5" t="s">
        <v>181</v>
      </c>
    </row>
    <row r="182" spans="1:2" x14ac:dyDescent="0.2">
      <c r="A182" s="4" t="str">
        <f>HYPERLINK("http://cdn.wpsstatic.com/images/full/1279-5bc8baf20cebd.jpg", "http://cdn.wpsstatic.com/images/full/1279-5bc8baf20cebd.jpg")</f>
        <v>http://cdn.wpsstatic.com/images/full/1279-5bc8baf20cebd.jpg</v>
      </c>
      <c r="B182" s="5" t="s">
        <v>182</v>
      </c>
    </row>
    <row r="183" spans="1:2" x14ac:dyDescent="0.2">
      <c r="A183" s="4" t="str">
        <f>HYPERLINK("http://cdn.wpsstatic.com/images/full/1279-5bc8baf20cebd.jpg", "http://cdn.wpsstatic.com/images/full/1279-5bc8baf20cebd.jpg")</f>
        <v>http://cdn.wpsstatic.com/images/full/1279-5bc8baf20cebd.jpg</v>
      </c>
      <c r="B183" s="5" t="s">
        <v>183</v>
      </c>
    </row>
    <row r="184" spans="1:2" x14ac:dyDescent="0.2">
      <c r="A184" s="4" t="str">
        <f>HYPERLINK("http://cdn.wpsstatic.com/images/full/1279-5bc8baf20cebd.jpg", "http://cdn.wpsstatic.com/images/full/1279-5bc8baf20cebd.jpg")</f>
        <v>http://cdn.wpsstatic.com/images/full/1279-5bc8baf20cebd.jpg</v>
      </c>
      <c r="B184" s="5" t="s">
        <v>184</v>
      </c>
    </row>
    <row r="185" spans="1:2" x14ac:dyDescent="0.2">
      <c r="A185" s="4" t="str">
        <f>HYPERLINK("http://cdn.wpsstatic.com/images/full/1279-5bc8baf20cebd.jpg", "http://cdn.wpsstatic.com/images/full/1279-5bc8baf20cebd.jpg")</f>
        <v>http://cdn.wpsstatic.com/images/full/1279-5bc8baf20cebd.jpg</v>
      </c>
      <c r="B185" s="5" t="s">
        <v>185</v>
      </c>
    </row>
    <row r="186" spans="1:2" x14ac:dyDescent="0.2">
      <c r="A186" s="4" t="str">
        <f>HYPERLINK("http://cdn.wpsstatic.com/images/full/1279-5bc8baf20cebd.jpg", "http://cdn.wpsstatic.com/images/full/1279-5bc8baf20cebd.jpg")</f>
        <v>http://cdn.wpsstatic.com/images/full/1279-5bc8baf20cebd.jpg</v>
      </c>
      <c r="B186" s="5" t="s">
        <v>186</v>
      </c>
    </row>
    <row r="187" spans="1:2" x14ac:dyDescent="0.2">
      <c r="A187" s="4" t="str">
        <f>HYPERLINK("http://cdn.wpsstatic.com/images/full/128b-572a54d1a18fb.jpg", "http://cdn.wpsstatic.com/images/full/128b-572a54d1a18fb.jpg")</f>
        <v>http://cdn.wpsstatic.com/images/full/128b-572a54d1a18fb.jpg</v>
      </c>
      <c r="B187" s="5" t="s">
        <v>187</v>
      </c>
    </row>
    <row r="188" spans="1:2" x14ac:dyDescent="0.2">
      <c r="A188" s="4" t="str">
        <f>HYPERLINK("http://cdn.wpsstatic.com/images/full/1292-572a526769344.jpg", "http://cdn.wpsstatic.com/images/full/1292-572a526769344.jpg")</f>
        <v>http://cdn.wpsstatic.com/images/full/1292-572a526769344.jpg</v>
      </c>
      <c r="B188" s="5" t="s">
        <v>188</v>
      </c>
    </row>
    <row r="189" spans="1:2" x14ac:dyDescent="0.2">
      <c r="A189" s="4" t="str">
        <f>HYPERLINK("http://cdn.wpsstatic.com/images/full/12b4-5885c1e691682.jpg", "http://cdn.wpsstatic.com/images/full/12b4-5885c1e691682.jpg")</f>
        <v>http://cdn.wpsstatic.com/images/full/12b4-5885c1e691682.jpg</v>
      </c>
      <c r="B189" s="5" t="s">
        <v>189</v>
      </c>
    </row>
    <row r="190" spans="1:2" x14ac:dyDescent="0.2">
      <c r="A190" s="4" t="str">
        <f>HYPERLINK("http://cdn.wpsstatic.com/images/full/12c5-572a554092fb4.jpg", "http://cdn.wpsstatic.com/images/full/12c5-572a554092fb4.jpg")</f>
        <v>http://cdn.wpsstatic.com/images/full/12c5-572a554092fb4.jpg</v>
      </c>
      <c r="B190" s="5" t="s">
        <v>190</v>
      </c>
    </row>
    <row r="191" spans="1:2" x14ac:dyDescent="0.2">
      <c r="A191" s="4" t="str">
        <f>HYPERLINK("http://cdn.wpsstatic.com/images/full/12e5-572a5389a70f6.jpg", "http://cdn.wpsstatic.com/images/full/12e5-572a5389a70f6.jpg")</f>
        <v>http://cdn.wpsstatic.com/images/full/12e5-572a5389a70f6.jpg</v>
      </c>
      <c r="B191" s="5" t="s">
        <v>191</v>
      </c>
    </row>
    <row r="192" spans="1:2" x14ac:dyDescent="0.2">
      <c r="A192" s="4" t="str">
        <f>HYPERLINK("http://cdn.wpsstatic.com/images/full/12f7-5d1684aa45427.jpg", "http://cdn.wpsstatic.com/images/full/12f7-5d1684aa45427.jpg")</f>
        <v>http://cdn.wpsstatic.com/images/full/12f7-5d1684aa45427.jpg</v>
      </c>
      <c r="B192" s="5" t="s">
        <v>192</v>
      </c>
    </row>
    <row r="193" spans="1:2" x14ac:dyDescent="0.2">
      <c r="A193" s="4" t="str">
        <f>HYPERLINK("http://cdn.wpsstatic.com/images/full/1330-5d02993adf520.jpg", "http://cdn.wpsstatic.com/images/full/1330-5d02993adf520.jpg")</f>
        <v>http://cdn.wpsstatic.com/images/full/1330-5d02993adf520.jpg</v>
      </c>
      <c r="B193" s="5" t="s">
        <v>193</v>
      </c>
    </row>
    <row r="194" spans="1:2" x14ac:dyDescent="0.2">
      <c r="A194" s="4" t="str">
        <f>HYPERLINK("http://cdn.wpsstatic.com/images/full/1358-572a542eb0185.jpg", "http://cdn.wpsstatic.com/images/full/1358-572a542eb0185.jpg")</f>
        <v>http://cdn.wpsstatic.com/images/full/1358-572a542eb0185.jpg</v>
      </c>
      <c r="B194" s="5" t="s">
        <v>194</v>
      </c>
    </row>
    <row r="195" spans="1:2" x14ac:dyDescent="0.2">
      <c r="A195" s="4" t="str">
        <f>HYPERLINK("http://cdn.wpsstatic.com/images/full/1387-572a543dc29cf.jpg", "http://cdn.wpsstatic.com/images/full/1387-572a543dc29cf.jpg")</f>
        <v>http://cdn.wpsstatic.com/images/full/1387-572a543dc29cf.jpg</v>
      </c>
      <c r="B195" s="5" t="s">
        <v>195</v>
      </c>
    </row>
    <row r="196" spans="1:2" x14ac:dyDescent="0.2">
      <c r="A196" s="4" t="str">
        <f>HYPERLINK("http://cdn.wpsstatic.com/images/full/13b3-572a55a8a2668.jpg", "http://cdn.wpsstatic.com/images/full/13b3-572a55a8a2668.jpg")</f>
        <v>http://cdn.wpsstatic.com/images/full/13b3-572a55a8a2668.jpg</v>
      </c>
      <c r="B196" s="5" t="s">
        <v>196</v>
      </c>
    </row>
    <row r="197" spans="1:2" x14ac:dyDescent="0.2">
      <c r="A197" s="4" t="str">
        <f>HYPERLINK("http://cdn.wpsstatic.com/images/full/13c2-572a530e3e496.jpg", "http://cdn.wpsstatic.com/images/full/13c2-572a530e3e496.jpg")</f>
        <v>http://cdn.wpsstatic.com/images/full/13c2-572a530e3e496.jpg</v>
      </c>
      <c r="B197" s="5" t="s">
        <v>197</v>
      </c>
    </row>
    <row r="198" spans="1:2" x14ac:dyDescent="0.2">
      <c r="A198" s="4" t="str">
        <f>HYPERLINK("http://cdn.wpsstatic.com/images/full/13eb-572a5395627ee.jpg", "http://cdn.wpsstatic.com/images/full/13eb-572a5395627ee.jpg")</f>
        <v>http://cdn.wpsstatic.com/images/full/13eb-572a5395627ee.jpg</v>
      </c>
      <c r="B198" s="5" t="s">
        <v>198</v>
      </c>
    </row>
    <row r="199" spans="1:2" x14ac:dyDescent="0.2">
      <c r="A199" s="4" t="str">
        <f>HYPERLINK("http://cdn.wpsstatic.com/images/full/13ed-572a53eeb59e8.jpg", "http://cdn.wpsstatic.com/images/full/13ed-572a53eeb59e8.jpg")</f>
        <v>http://cdn.wpsstatic.com/images/full/13ed-572a53eeb59e8.jpg</v>
      </c>
      <c r="B199" s="5" t="s">
        <v>199</v>
      </c>
    </row>
    <row r="200" spans="1:2" x14ac:dyDescent="0.2">
      <c r="A200" s="4" t="str">
        <f>HYPERLINK("http://cdn.wpsstatic.com/images/full/13f1-5ecd4093ca738.jpg", "http://cdn.wpsstatic.com/images/full/13f1-5ecd4093ca738.jpg")</f>
        <v>http://cdn.wpsstatic.com/images/full/13f1-5ecd4093ca738.jpg</v>
      </c>
      <c r="B200" s="5" t="s">
        <v>200</v>
      </c>
    </row>
    <row r="201" spans="1:2" x14ac:dyDescent="0.2">
      <c r="A201" s="4" t="str">
        <f>HYPERLINK("http://cdn.wpsstatic.com/images/full/13f3-572a52c7611c5.jpg", "http://cdn.wpsstatic.com/images/full/13f3-572a52c7611c5.jpg")</f>
        <v>http://cdn.wpsstatic.com/images/full/13f3-572a52c7611c5.jpg</v>
      </c>
      <c r="B201" s="5" t="s">
        <v>201</v>
      </c>
    </row>
    <row r="202" spans="1:2" x14ac:dyDescent="0.2">
      <c r="A202" s="4" t="str">
        <f>HYPERLINK("http://cdn.wpsstatic.com/images/full/1420-572a54f69cf42.jpg", "http://cdn.wpsstatic.com/images/full/1420-572a54f69cf42.jpg")</f>
        <v>http://cdn.wpsstatic.com/images/full/1420-572a54f69cf42.jpg</v>
      </c>
      <c r="B202" s="5" t="s">
        <v>202</v>
      </c>
    </row>
    <row r="203" spans="1:2" x14ac:dyDescent="0.2">
      <c r="A203" s="4" t="str">
        <f>HYPERLINK("http://cdn.wpsstatic.com/images/full/1428-572a549579b08.jpg", "http://cdn.wpsstatic.com/images/full/1428-572a549579b08.jpg")</f>
        <v>http://cdn.wpsstatic.com/images/full/1428-572a549579b08.jpg</v>
      </c>
      <c r="B203" s="5" t="s">
        <v>203</v>
      </c>
    </row>
    <row r="204" spans="1:2" x14ac:dyDescent="0.2">
      <c r="A204" s="4" t="str">
        <f>HYPERLINK("http://cdn.wpsstatic.com/images/full/1458-572a53f9878d0.jpg", "http://cdn.wpsstatic.com/images/full/1458-572a53f9878d0.jpg")</f>
        <v>http://cdn.wpsstatic.com/images/full/1458-572a53f9878d0.jpg</v>
      </c>
      <c r="B204" s="5" t="s">
        <v>204</v>
      </c>
    </row>
    <row r="205" spans="1:2" x14ac:dyDescent="0.2">
      <c r="A205" s="4" t="str">
        <f>HYPERLINK("http://cdn.wpsstatic.com/images/full/1461-572a54e08dcb2.jpg", "http://cdn.wpsstatic.com/images/full/1461-572a54e08dcb2.jpg")</f>
        <v>http://cdn.wpsstatic.com/images/full/1461-572a54e08dcb2.jpg</v>
      </c>
      <c r="B205" s="5" t="s">
        <v>205</v>
      </c>
    </row>
    <row r="206" spans="1:2" x14ac:dyDescent="0.2">
      <c r="A206" s="4" t="str">
        <f>HYPERLINK("http://cdn.wpsstatic.com/images/full/1469-5a283a843e1cb.jpg", "http://cdn.wpsstatic.com/images/full/1469-5a283a843e1cb.jpg")</f>
        <v>http://cdn.wpsstatic.com/images/full/1469-5a283a843e1cb.jpg</v>
      </c>
      <c r="B206" s="5" t="s">
        <v>206</v>
      </c>
    </row>
    <row r="207" spans="1:2" x14ac:dyDescent="0.2">
      <c r="A207" s="4" t="str">
        <f>HYPERLINK("http://cdn.wpsstatic.com/images/full/1475-572a5279c5d2c.jpg", "http://cdn.wpsstatic.com/images/full/1475-572a5279c5d2c.jpg")</f>
        <v>http://cdn.wpsstatic.com/images/full/1475-572a5279c5d2c.jpg</v>
      </c>
      <c r="B207" s="5" t="s">
        <v>207</v>
      </c>
    </row>
    <row r="208" spans="1:2" x14ac:dyDescent="0.2">
      <c r="A208" s="4" t="str">
        <f>HYPERLINK("http://cdn.wpsstatic.com/images/full/14a3-60410510ac983.jpg", "http://cdn.wpsstatic.com/images/full/14a3-60410510ac983.jpg")</f>
        <v>http://cdn.wpsstatic.com/images/full/14a3-60410510ac983.jpg</v>
      </c>
      <c r="B208" s="5" t="s">
        <v>208</v>
      </c>
    </row>
    <row r="209" spans="1:2" x14ac:dyDescent="0.2">
      <c r="A209" s="4" t="str">
        <f>HYPERLINK("http://cdn.wpsstatic.com/images/full/14c8-5885c244e2fa2.jpg", "http://cdn.wpsstatic.com/images/full/14c8-5885c244e2fa2.jpg")</f>
        <v>http://cdn.wpsstatic.com/images/full/14c8-5885c244e2fa2.jpg</v>
      </c>
      <c r="B209" s="5" t="s">
        <v>209</v>
      </c>
    </row>
    <row r="210" spans="1:2" x14ac:dyDescent="0.2">
      <c r="A210" s="4" t="str">
        <f>HYPERLINK("http://cdn.wpsstatic.com/images/full/14cd-572a5397d4d00.jpg", "http://cdn.wpsstatic.com/images/full/14cd-572a5397d4d00.jpg")</f>
        <v>http://cdn.wpsstatic.com/images/full/14cd-572a5397d4d00.jpg</v>
      </c>
      <c r="B210" s="5" t="s">
        <v>210</v>
      </c>
    </row>
    <row r="211" spans="1:2" x14ac:dyDescent="0.2">
      <c r="A211" s="4" t="str">
        <f>HYPERLINK("http://cdn.wpsstatic.com/images/full/14d5-572a5550ab897.jpg", "http://cdn.wpsstatic.com/images/full/14d5-572a5550ab897.jpg")</f>
        <v>http://cdn.wpsstatic.com/images/full/14d5-572a5550ab897.jpg</v>
      </c>
      <c r="B211" s="5" t="s">
        <v>211</v>
      </c>
    </row>
    <row r="212" spans="1:2" x14ac:dyDescent="0.2">
      <c r="A212" s="4" t="str">
        <f>HYPERLINK("http://cdn.wpsstatic.com/images/full/14ed-572a53ca22eb8.jpg", "http://cdn.wpsstatic.com/images/full/14ed-572a53ca22eb8.jpg")</f>
        <v>http://cdn.wpsstatic.com/images/full/14ed-572a53ca22eb8.jpg</v>
      </c>
      <c r="B212" s="5" t="s">
        <v>212</v>
      </c>
    </row>
    <row r="213" spans="1:2" x14ac:dyDescent="0.2">
      <c r="A213" s="4" t="str">
        <f>HYPERLINK("http://cdn.wpsstatic.com/images/full/150e-572a5529a9ad2.jpg", "http://cdn.wpsstatic.com/images/full/150e-572a5529a9ad2.jpg")</f>
        <v>http://cdn.wpsstatic.com/images/full/150e-572a5529a9ad2.jpg</v>
      </c>
      <c r="B213" s="5" t="s">
        <v>213</v>
      </c>
    </row>
    <row r="214" spans="1:2" x14ac:dyDescent="0.2">
      <c r="A214" s="4" t="str">
        <f>HYPERLINK("http://cdn.wpsstatic.com/images/full/150f-5d028cd824ee3.jpg", "http://cdn.wpsstatic.com/images/full/150f-5d028cd824ee3.jpg")</f>
        <v>http://cdn.wpsstatic.com/images/full/150f-5d028cd824ee3.jpg</v>
      </c>
      <c r="B214" s="5" t="s">
        <v>214</v>
      </c>
    </row>
    <row r="215" spans="1:2" x14ac:dyDescent="0.2">
      <c r="A215" s="4" t="str">
        <f>HYPERLINK("http://cdn.wpsstatic.com/images/full/151a-572a532e3c0b6.jpg", "http://cdn.wpsstatic.com/images/full/151a-572a532e3c0b6.jpg")</f>
        <v>http://cdn.wpsstatic.com/images/full/151a-572a532e3c0b6.jpg</v>
      </c>
      <c r="B215" s="5" t="s">
        <v>215</v>
      </c>
    </row>
    <row r="216" spans="1:2" x14ac:dyDescent="0.2">
      <c r="A216" s="4" t="str">
        <f>HYPERLINK("http://cdn.wpsstatic.com/images/full/1587-5d02903ebf23b.jpg", "http://cdn.wpsstatic.com/images/full/1587-5d02903ebf23b.jpg")</f>
        <v>http://cdn.wpsstatic.com/images/full/1587-5d02903ebf23b.jpg</v>
      </c>
      <c r="B216" s="5" t="s">
        <v>216</v>
      </c>
    </row>
    <row r="217" spans="1:2" x14ac:dyDescent="0.2">
      <c r="A217" s="4" t="str">
        <f>HYPERLINK("http://cdn.wpsstatic.com/images/full/15a1-572a5638d9f2c.jpg", "http://cdn.wpsstatic.com/images/full/15a1-572a5638d9f2c.jpg")</f>
        <v>http://cdn.wpsstatic.com/images/full/15a1-572a5638d9f2c.jpg</v>
      </c>
      <c r="B217" s="5" t="s">
        <v>217</v>
      </c>
    </row>
    <row r="218" spans="1:2" x14ac:dyDescent="0.2">
      <c r="A218" s="4" t="str">
        <f>HYPERLINK("http://cdn.wpsstatic.com/images/full/15b0-5d028ef6737cd.jpg", "http://cdn.wpsstatic.com/images/full/15b0-5d028ef6737cd.jpg")</f>
        <v>http://cdn.wpsstatic.com/images/full/15b0-5d028ef6737cd.jpg</v>
      </c>
      <c r="B218" s="5" t="s">
        <v>218</v>
      </c>
    </row>
    <row r="219" spans="1:2" x14ac:dyDescent="0.2">
      <c r="A219" s="4" t="str">
        <f>HYPERLINK("http://cdn.wpsstatic.com/images/full/15b9-572a5484f1098.jpg", "http://cdn.wpsstatic.com/images/full/15b9-572a5484f1098.jpg")</f>
        <v>http://cdn.wpsstatic.com/images/full/15b9-572a5484f1098.jpg</v>
      </c>
      <c r="B219" s="5" t="s">
        <v>219</v>
      </c>
    </row>
    <row r="220" spans="1:2" x14ac:dyDescent="0.2">
      <c r="A220" s="4" t="str">
        <f>HYPERLINK("http://cdn.wpsstatic.com/images/full/1620-572a52b4e4560.jpg", "http://cdn.wpsstatic.com/images/full/1620-572a52b4e4560.jpg")</f>
        <v>http://cdn.wpsstatic.com/images/full/1620-572a52b4e4560.jpg</v>
      </c>
      <c r="B220" s="5" t="s">
        <v>220</v>
      </c>
    </row>
    <row r="221" spans="1:2" x14ac:dyDescent="0.2">
      <c r="A221" s="4" t="str">
        <f>HYPERLINK("http://cdn.wpsstatic.com/images/full/1624-5885c22e2f0c0.jpg", "http://cdn.wpsstatic.com/images/full/1624-5885c22e2f0c0.jpg")</f>
        <v>http://cdn.wpsstatic.com/images/full/1624-5885c22e2f0c0.jpg</v>
      </c>
      <c r="B221" s="5" t="s">
        <v>221</v>
      </c>
    </row>
    <row r="222" spans="1:2" x14ac:dyDescent="0.2">
      <c r="A222" s="4" t="str">
        <f>HYPERLINK("http://cdn.wpsstatic.com/images/full/1630-572a53aa5356b.jpg", "http://cdn.wpsstatic.com/images/full/1630-572a53aa5356b.jpg")</f>
        <v>http://cdn.wpsstatic.com/images/full/1630-572a53aa5356b.jpg</v>
      </c>
      <c r="B222" s="5" t="s">
        <v>222</v>
      </c>
    </row>
    <row r="223" spans="1:2" x14ac:dyDescent="0.2">
      <c r="A223" s="4" t="str">
        <f>HYPERLINK("http://cdn.wpsstatic.com/images/full/1633-572a53e970cde.jpg", "http://cdn.wpsstatic.com/images/full/1633-572a53e970cde.jpg")</f>
        <v>http://cdn.wpsstatic.com/images/full/1633-572a53e970cde.jpg</v>
      </c>
      <c r="B223" s="5" t="s">
        <v>223</v>
      </c>
    </row>
    <row r="224" spans="1:2" x14ac:dyDescent="0.2">
      <c r="A224" s="4" t="str">
        <f>HYPERLINK("http://cdn.wpsstatic.com/images/full/165e-572a5359eb1ee.jpg", "http://cdn.wpsstatic.com/images/full/165e-572a5359eb1ee.jpg")</f>
        <v>http://cdn.wpsstatic.com/images/full/165e-572a5359eb1ee.jpg</v>
      </c>
      <c r="B224" s="5" t="s">
        <v>224</v>
      </c>
    </row>
    <row r="225" spans="1:2" x14ac:dyDescent="0.2">
      <c r="A225" s="4" t="str">
        <f>HYPERLINK("http://cdn.wpsstatic.com/images/full/166c-572a531e615d4.jpg", "http://cdn.wpsstatic.com/images/full/166c-572a531e615d4.jpg")</f>
        <v>http://cdn.wpsstatic.com/images/full/166c-572a531e615d4.jpg</v>
      </c>
      <c r="B225" s="5" t="s">
        <v>225</v>
      </c>
    </row>
    <row r="226" spans="1:2" x14ac:dyDescent="0.2">
      <c r="A226" s="4" t="str">
        <f>HYPERLINK("http://cdn.wpsstatic.com/images/full/16b0-572a556ea751d.jpg", "http://cdn.wpsstatic.com/images/full/16b0-572a556ea751d.jpg")</f>
        <v>http://cdn.wpsstatic.com/images/full/16b0-572a556ea751d.jpg</v>
      </c>
      <c r="B226" s="5" t="s">
        <v>226</v>
      </c>
    </row>
    <row r="227" spans="1:2" x14ac:dyDescent="0.2">
      <c r="A227" s="4" t="str">
        <f>HYPERLINK("http://cdn.wpsstatic.com/images/full/16c2-5d0293650eb1f.jpg", "http://cdn.wpsstatic.com/images/full/16c2-5d0293650eb1f.jpg")</f>
        <v>http://cdn.wpsstatic.com/images/full/16c2-5d0293650eb1f.jpg</v>
      </c>
      <c r="B227" s="5" t="s">
        <v>227</v>
      </c>
    </row>
    <row r="228" spans="1:2" x14ac:dyDescent="0.2">
      <c r="A228" s="4" t="str">
        <f>HYPERLINK("http://cdn.wpsstatic.com/images/full/16ed-5d028da3bdb4c.jpg", "http://cdn.wpsstatic.com/images/full/16ed-5d028da3bdb4c.jpg")</f>
        <v>http://cdn.wpsstatic.com/images/full/16ed-5d028da3bdb4c.jpg</v>
      </c>
      <c r="B228" s="5" t="s">
        <v>228</v>
      </c>
    </row>
    <row r="229" spans="1:2" x14ac:dyDescent="0.2">
      <c r="A229" s="4" t="str">
        <f>HYPERLINK("http://cdn.wpsstatic.com/images/full/16ff-572a525d381a1.jpg", "http://cdn.wpsstatic.com/images/full/16ff-572a525d381a1.jpg")</f>
        <v>http://cdn.wpsstatic.com/images/full/16ff-572a525d381a1.jpg</v>
      </c>
      <c r="B229" s="5" t="s">
        <v>229</v>
      </c>
    </row>
    <row r="230" spans="1:2" x14ac:dyDescent="0.2">
      <c r="A230" s="4" t="str">
        <f>HYPERLINK("http://cdn.wpsstatic.com/images/full/1708-572a53d21dec3.jpg", "http://cdn.wpsstatic.com/images/full/1708-572a53d21dec3.jpg")</f>
        <v>http://cdn.wpsstatic.com/images/full/1708-572a53d21dec3.jpg</v>
      </c>
      <c r="B230" s="5" t="s">
        <v>230</v>
      </c>
    </row>
    <row r="231" spans="1:2" x14ac:dyDescent="0.2">
      <c r="A231" s="4" t="str">
        <f>HYPERLINK("http://cdn.wpsstatic.com/images/full/172d-572a538e37cb0.jpg", "http://cdn.wpsstatic.com/images/full/172d-572a538e37cb0.jpg")</f>
        <v>http://cdn.wpsstatic.com/images/full/172d-572a538e37cb0.jpg</v>
      </c>
      <c r="B231" s="5" t="s">
        <v>231</v>
      </c>
    </row>
    <row r="232" spans="1:2" x14ac:dyDescent="0.2">
      <c r="A232" s="4" t="str">
        <f>HYPERLINK("http://cdn.wpsstatic.com/images/full/1760-572a538007466.jpg", "http://cdn.wpsstatic.com/images/full/1760-572a538007466.jpg")</f>
        <v>http://cdn.wpsstatic.com/images/full/1760-572a538007466.jpg</v>
      </c>
      <c r="B232" s="5" t="s">
        <v>232</v>
      </c>
    </row>
    <row r="233" spans="1:2" x14ac:dyDescent="0.2">
      <c r="A233" s="4" t="str">
        <f>HYPERLINK("http://cdn.wpsstatic.com/images/full/176d-572a53cc68826.jpg", "http://cdn.wpsstatic.com/images/full/176d-572a53cc68826.jpg")</f>
        <v>http://cdn.wpsstatic.com/images/full/176d-572a53cc68826.jpg</v>
      </c>
      <c r="B233" s="5" t="s">
        <v>233</v>
      </c>
    </row>
    <row r="234" spans="1:2" x14ac:dyDescent="0.2">
      <c r="A234" s="4" t="str">
        <f>HYPERLINK("http://cdn.wpsstatic.com/images/full/1783-572a53804b6da.jpg", "http://cdn.wpsstatic.com/images/full/1783-572a53804b6da.jpg")</f>
        <v>http://cdn.wpsstatic.com/images/full/1783-572a53804b6da.jpg</v>
      </c>
      <c r="B234" s="5" t="s">
        <v>234</v>
      </c>
    </row>
    <row r="235" spans="1:2" x14ac:dyDescent="0.2">
      <c r="A235" s="4" t="str">
        <f>HYPERLINK("http://cdn.wpsstatic.com/images/full/17a1-5d02937cbc3a9.jpg", "http://cdn.wpsstatic.com/images/full/17a1-5d02937cbc3a9.jpg")</f>
        <v>http://cdn.wpsstatic.com/images/full/17a1-5d02937cbc3a9.jpg</v>
      </c>
      <c r="B235" s="5" t="s">
        <v>235</v>
      </c>
    </row>
    <row r="236" spans="1:2" x14ac:dyDescent="0.2">
      <c r="A236" s="4" t="str">
        <f>HYPERLINK("http://cdn.wpsstatic.com/images/full/17b7-572a533adf4a9.jpg", "http://cdn.wpsstatic.com/images/full/17b7-572a533adf4a9.jpg")</f>
        <v>http://cdn.wpsstatic.com/images/full/17b7-572a533adf4a9.jpg</v>
      </c>
      <c r="B236" s="5" t="s">
        <v>236</v>
      </c>
    </row>
    <row r="237" spans="1:2" x14ac:dyDescent="0.2">
      <c r="A237" s="4" t="str">
        <f>HYPERLINK("http://cdn.wpsstatic.com/images/full/17bb-572a53f1e2f43.jpg", "http://cdn.wpsstatic.com/images/full/17bb-572a53f1e2f43.jpg")</f>
        <v>http://cdn.wpsstatic.com/images/full/17bb-572a53f1e2f43.jpg</v>
      </c>
      <c r="B237" s="5" t="s">
        <v>237</v>
      </c>
    </row>
    <row r="238" spans="1:2" x14ac:dyDescent="0.2">
      <c r="A238" s="4" t="str">
        <f>HYPERLINK("http://cdn.wpsstatic.com/images/full/17f3-572a549222b5a.jpg", "http://cdn.wpsstatic.com/images/full/17f3-572a549222b5a.jpg")</f>
        <v>http://cdn.wpsstatic.com/images/full/17f3-572a549222b5a.jpg</v>
      </c>
      <c r="B238" s="5" t="s">
        <v>238</v>
      </c>
    </row>
    <row r="239" spans="1:2" x14ac:dyDescent="0.2">
      <c r="A239" s="4" t="str">
        <f>HYPERLINK("http://cdn.wpsstatic.com/images/full/1851-572a536546330.jpg", "http://cdn.wpsstatic.com/images/full/1851-572a536546330.jpg")</f>
        <v>http://cdn.wpsstatic.com/images/full/1851-572a536546330.jpg</v>
      </c>
      <c r="B239" s="5" t="s">
        <v>239</v>
      </c>
    </row>
    <row r="240" spans="1:2" x14ac:dyDescent="0.2">
      <c r="A240" s="4" t="str">
        <f>HYPERLINK("http://cdn.wpsstatic.com/images/full/18a6-572a55026b863.jpg", "http://cdn.wpsstatic.com/images/full/18a6-572a55026b863.jpg")</f>
        <v>http://cdn.wpsstatic.com/images/full/18a6-572a55026b863.jpg</v>
      </c>
      <c r="B240" s="5" t="s">
        <v>240</v>
      </c>
    </row>
    <row r="241" spans="1:2" x14ac:dyDescent="0.2">
      <c r="A241" s="4" t="str">
        <f>HYPERLINK("http://cdn.wpsstatic.com/images/full/18ae-572a563574899.jpg", "http://cdn.wpsstatic.com/images/full/18ae-572a563574899.jpg")</f>
        <v>http://cdn.wpsstatic.com/images/full/18ae-572a563574899.jpg</v>
      </c>
      <c r="B241" s="5" t="s">
        <v>241</v>
      </c>
    </row>
    <row r="242" spans="1:2" x14ac:dyDescent="0.2">
      <c r="A242" s="4" t="str">
        <f>HYPERLINK("http://cdn.wpsstatic.com/images/full/18ce-572a54cd58f11.jpg", "http://cdn.wpsstatic.com/images/full/18ce-572a54cd58f11.jpg")</f>
        <v>http://cdn.wpsstatic.com/images/full/18ce-572a54cd58f11.jpg</v>
      </c>
      <c r="B242" s="5" t="s">
        <v>242</v>
      </c>
    </row>
    <row r="243" spans="1:2" x14ac:dyDescent="0.2">
      <c r="A243" s="4" t="str">
        <f>HYPERLINK("http://cdn.wpsstatic.com/images/full/18d2-5fb4508a3f21f.jpg", "http://cdn.wpsstatic.com/images/full/18d2-5fb4508a3f21f.jpg")</f>
        <v>http://cdn.wpsstatic.com/images/full/18d2-5fb4508a3f21f.jpg</v>
      </c>
      <c r="B243" s="5" t="s">
        <v>243</v>
      </c>
    </row>
    <row r="244" spans="1:2" x14ac:dyDescent="0.2">
      <c r="A244" s="4" t="str">
        <f>HYPERLINK("http://cdn.wpsstatic.com/images/full/1900-660426cca6e5b.png", "http://cdn.wpsstatic.com/images/full/1900-660426cca6e5b.png")</f>
        <v>http://cdn.wpsstatic.com/images/full/1900-660426cca6e5b.png</v>
      </c>
      <c r="B244" s="5" t="s">
        <v>244</v>
      </c>
    </row>
    <row r="245" spans="1:2" x14ac:dyDescent="0.2">
      <c r="A245" s="4" t="str">
        <f>HYPERLINK("http://cdn.wpsstatic.com/images/full/190c-572a53b8a7d90.jpg", "http://cdn.wpsstatic.com/images/full/190c-572a53b8a7d90.jpg")</f>
        <v>http://cdn.wpsstatic.com/images/full/190c-572a53b8a7d90.jpg</v>
      </c>
      <c r="B245" s="5" t="s">
        <v>245</v>
      </c>
    </row>
    <row r="246" spans="1:2" x14ac:dyDescent="0.2">
      <c r="A246" s="4" t="str">
        <f>HYPERLINK("http://cdn.wpsstatic.com/images/full/1939-572a5282ac7fc.jpg", "http://cdn.wpsstatic.com/images/full/1939-572a5282ac7fc.jpg")</f>
        <v>http://cdn.wpsstatic.com/images/full/1939-572a5282ac7fc.jpg</v>
      </c>
      <c r="B246" s="5" t="s">
        <v>246</v>
      </c>
    </row>
    <row r="247" spans="1:2" x14ac:dyDescent="0.2">
      <c r="A247" s="4" t="str">
        <f>HYPERLINK("http://cdn.wpsstatic.com/images/full/199d-6171d727ade78.png", "http://cdn.wpsstatic.com/images/full/199d-6171d727ade78.png")</f>
        <v>http://cdn.wpsstatic.com/images/full/199d-6171d727ade78.png</v>
      </c>
      <c r="B247" s="5" t="s">
        <v>247</v>
      </c>
    </row>
    <row r="248" spans="1:2" x14ac:dyDescent="0.2">
      <c r="A248" s="4" t="str">
        <f>HYPERLINK("http://cdn.wpsstatic.com/images/full/19b2-572a54ca9e047.jpg", "http://cdn.wpsstatic.com/images/full/19b2-572a54ca9e047.jpg")</f>
        <v>http://cdn.wpsstatic.com/images/full/19b2-572a54ca9e047.jpg</v>
      </c>
      <c r="B248" s="5" t="s">
        <v>248</v>
      </c>
    </row>
    <row r="249" spans="1:2" x14ac:dyDescent="0.2">
      <c r="A249" s="4" t="str">
        <f>HYPERLINK("http://cdn.wpsstatic.com/images/full/19c7-572a5414aeac9.jpg", "http://cdn.wpsstatic.com/images/full/19c7-572a5414aeac9.jpg")</f>
        <v>http://cdn.wpsstatic.com/images/full/19c7-572a5414aeac9.jpg</v>
      </c>
      <c r="B249" s="5" t="s">
        <v>249</v>
      </c>
    </row>
    <row r="250" spans="1:2" x14ac:dyDescent="0.2">
      <c r="A250" s="4" t="str">
        <f>HYPERLINK("http://cdn.wpsstatic.com/images/full/19f2-61041bb418485.png", "http://cdn.wpsstatic.com/images/full/19f2-61041bb418485.png")</f>
        <v>http://cdn.wpsstatic.com/images/full/19f2-61041bb418485.png</v>
      </c>
      <c r="B250" s="5" t="s">
        <v>250</v>
      </c>
    </row>
    <row r="251" spans="1:2" x14ac:dyDescent="0.2">
      <c r="A251" s="4" t="str">
        <f>HYPERLINK("http://cdn.wpsstatic.com/images/full/1a02-572a525558dad.jpg", "http://cdn.wpsstatic.com/images/full/1a02-572a525558dad.jpg")</f>
        <v>http://cdn.wpsstatic.com/images/full/1a02-572a525558dad.jpg</v>
      </c>
      <c r="B251" s="5" t="s">
        <v>251</v>
      </c>
    </row>
    <row r="252" spans="1:2" x14ac:dyDescent="0.2">
      <c r="A252" s="4" t="str">
        <f>HYPERLINK("http://cdn.wpsstatic.com/images/full/1a11-572a54127dc3b.jpg", "http://cdn.wpsstatic.com/images/full/1a11-572a54127dc3b.jpg")</f>
        <v>http://cdn.wpsstatic.com/images/full/1a11-572a54127dc3b.jpg</v>
      </c>
      <c r="B252" s="5" t="s">
        <v>252</v>
      </c>
    </row>
    <row r="253" spans="1:2" x14ac:dyDescent="0.2">
      <c r="A253" s="4" t="str">
        <f>HYPERLINK("http://cdn.wpsstatic.com/images/full/1a24-572a55a5d1285.jpg", "http://cdn.wpsstatic.com/images/full/1a24-572a55a5d1285.jpg")</f>
        <v>http://cdn.wpsstatic.com/images/full/1a24-572a55a5d1285.jpg</v>
      </c>
      <c r="B253" s="5" t="s">
        <v>253</v>
      </c>
    </row>
    <row r="254" spans="1:2" x14ac:dyDescent="0.2">
      <c r="A254" s="4" t="str">
        <f>HYPERLINK("http://cdn.wpsstatic.com/images/full/1a84-5b0d8e55d6616.jpg", "http://cdn.wpsstatic.com/images/full/1a84-5b0d8e55d6616.jpg")</f>
        <v>http://cdn.wpsstatic.com/images/full/1a84-5b0d8e55d6616.jpg</v>
      </c>
      <c r="B254" s="5" t="s">
        <v>254</v>
      </c>
    </row>
    <row r="255" spans="1:2" x14ac:dyDescent="0.2">
      <c r="A255" s="4" t="str">
        <f>HYPERLINK("http://cdn.wpsstatic.com/images/full/1a84-5b0d8e55d6616.jpg", "http://cdn.wpsstatic.com/images/full/1a84-5b0d8e55d6616.jpg")</f>
        <v>http://cdn.wpsstatic.com/images/full/1a84-5b0d8e55d6616.jpg</v>
      </c>
      <c r="B255" s="5" t="s">
        <v>255</v>
      </c>
    </row>
    <row r="256" spans="1:2" x14ac:dyDescent="0.2">
      <c r="A256" s="4" t="str">
        <f>HYPERLINK("http://cdn.wpsstatic.com/images/full/1a84-5b0d8e55d6616.jpg", "http://cdn.wpsstatic.com/images/full/1a84-5b0d8e55d6616.jpg")</f>
        <v>http://cdn.wpsstatic.com/images/full/1a84-5b0d8e55d6616.jpg</v>
      </c>
      <c r="B256" s="5" t="s">
        <v>256</v>
      </c>
    </row>
    <row r="257" spans="1:2" x14ac:dyDescent="0.2">
      <c r="A257" s="4" t="str">
        <f>HYPERLINK("http://cdn.wpsstatic.com/images/full/1a84-5b0d8e55d6616.jpg", "http://cdn.wpsstatic.com/images/full/1a84-5b0d8e55d6616.jpg")</f>
        <v>http://cdn.wpsstatic.com/images/full/1a84-5b0d8e55d6616.jpg</v>
      </c>
      <c r="B257" s="5" t="s">
        <v>257</v>
      </c>
    </row>
    <row r="258" spans="1:2" x14ac:dyDescent="0.2">
      <c r="A258" s="4" t="str">
        <f>HYPERLINK("http://cdn.wpsstatic.com/images/full/1a84-5b0d8e55d6616.jpg", "http://cdn.wpsstatic.com/images/full/1a84-5b0d8e55d6616.jpg")</f>
        <v>http://cdn.wpsstatic.com/images/full/1a84-5b0d8e55d6616.jpg</v>
      </c>
      <c r="B258" s="5" t="s">
        <v>258</v>
      </c>
    </row>
    <row r="259" spans="1:2" x14ac:dyDescent="0.2">
      <c r="A259" s="4" t="str">
        <f>HYPERLINK("http://cdn.wpsstatic.com/images/full/1a84-5b0d8e55d6616.jpg", "http://cdn.wpsstatic.com/images/full/1a84-5b0d8e55d6616.jpg")</f>
        <v>http://cdn.wpsstatic.com/images/full/1a84-5b0d8e55d6616.jpg</v>
      </c>
      <c r="B259" s="5" t="s">
        <v>259</v>
      </c>
    </row>
    <row r="260" spans="1:2" x14ac:dyDescent="0.2">
      <c r="A260" s="4" t="str">
        <f>HYPERLINK("http://cdn.wpsstatic.com/images/full/1a84-5b0d8e55d6616.jpg", "http://cdn.wpsstatic.com/images/full/1a84-5b0d8e55d6616.jpg")</f>
        <v>http://cdn.wpsstatic.com/images/full/1a84-5b0d8e55d6616.jpg</v>
      </c>
      <c r="B260" s="5" t="s">
        <v>260</v>
      </c>
    </row>
    <row r="261" spans="1:2" x14ac:dyDescent="0.2">
      <c r="A261" s="4" t="str">
        <f>HYPERLINK("http://cdn.wpsstatic.com/images/full/1a84-5b0d8e55d6616.jpg", "http://cdn.wpsstatic.com/images/full/1a84-5b0d8e55d6616.jpg")</f>
        <v>http://cdn.wpsstatic.com/images/full/1a84-5b0d8e55d6616.jpg</v>
      </c>
      <c r="B261" s="5" t="s">
        <v>261</v>
      </c>
    </row>
    <row r="262" spans="1:2" x14ac:dyDescent="0.2">
      <c r="A262" s="4" t="str">
        <f>HYPERLINK("http://cdn.wpsstatic.com/images/full/1a84-5b0d8e55d6616.jpg", "http://cdn.wpsstatic.com/images/full/1a84-5b0d8e55d6616.jpg")</f>
        <v>http://cdn.wpsstatic.com/images/full/1a84-5b0d8e55d6616.jpg</v>
      </c>
      <c r="B262" s="5" t="s">
        <v>262</v>
      </c>
    </row>
    <row r="263" spans="1:2" x14ac:dyDescent="0.2">
      <c r="A263" s="4" t="str">
        <f>HYPERLINK("http://cdn.wpsstatic.com/images/full/1ab3-5fb451c3704f9.jpg", "http://cdn.wpsstatic.com/images/full/1ab3-5fb451c3704f9.jpg")</f>
        <v>http://cdn.wpsstatic.com/images/full/1ab3-5fb451c3704f9.jpg</v>
      </c>
      <c r="B263" s="5" t="s">
        <v>263</v>
      </c>
    </row>
    <row r="264" spans="1:2" x14ac:dyDescent="0.2">
      <c r="A264" s="4" t="str">
        <f>HYPERLINK("http://cdn.wpsstatic.com/images/full/1ac9-60a6a9189a6f3.png", "http://cdn.wpsstatic.com/images/full/1ac9-60a6a9189a6f3.png")</f>
        <v>http://cdn.wpsstatic.com/images/full/1ac9-60a6a9189a6f3.png</v>
      </c>
      <c r="B264" s="5" t="s">
        <v>264</v>
      </c>
    </row>
    <row r="265" spans="1:2" x14ac:dyDescent="0.2">
      <c r="A265" s="4" t="str">
        <f>HYPERLINK("http://cdn.wpsstatic.com/images/full/1acd-572a53a303055.jpg", "http://cdn.wpsstatic.com/images/full/1acd-572a53a303055.jpg")</f>
        <v>http://cdn.wpsstatic.com/images/full/1acd-572a53a303055.jpg</v>
      </c>
      <c r="B265" s="5" t="s">
        <v>265</v>
      </c>
    </row>
    <row r="266" spans="1:2" x14ac:dyDescent="0.2">
      <c r="A266" s="4" t="str">
        <f>HYPERLINK("http://cdn.wpsstatic.com/images/full/1adc-572a556505b9c.jpg", "http://cdn.wpsstatic.com/images/full/1adc-572a556505b9c.jpg")</f>
        <v>http://cdn.wpsstatic.com/images/full/1adc-572a556505b9c.jpg</v>
      </c>
      <c r="B266" s="5" t="s">
        <v>266</v>
      </c>
    </row>
    <row r="267" spans="1:2" x14ac:dyDescent="0.2">
      <c r="A267" s="4" t="str">
        <f>HYPERLINK("http://cdn.wpsstatic.com/images/full/1adf-572a5631b6997.jpg", "http://cdn.wpsstatic.com/images/full/1adf-572a5631b6997.jpg")</f>
        <v>http://cdn.wpsstatic.com/images/full/1adf-572a5631b6997.jpg</v>
      </c>
      <c r="B267" s="5" t="s">
        <v>267</v>
      </c>
    </row>
    <row r="268" spans="1:2" x14ac:dyDescent="0.2">
      <c r="A268" s="4" t="str">
        <f>HYPERLINK("http://cdn.wpsstatic.com/images/full/1aef-572a53119858e.jpg", "http://cdn.wpsstatic.com/images/full/1aef-572a53119858e.jpg")</f>
        <v>http://cdn.wpsstatic.com/images/full/1aef-572a53119858e.jpg</v>
      </c>
      <c r="B268" s="5" t="s">
        <v>268</v>
      </c>
    </row>
    <row r="269" spans="1:2" x14ac:dyDescent="0.2">
      <c r="A269" s="4" t="str">
        <f>HYPERLINK("http://cdn.wpsstatic.com/images/full/1b43-572a74f7af448.jpg", "http://cdn.wpsstatic.com/images/full/1b43-572a74f7af448.jpg")</f>
        <v>http://cdn.wpsstatic.com/images/full/1b43-572a74f7af448.jpg</v>
      </c>
      <c r="B269" s="5" t="s">
        <v>269</v>
      </c>
    </row>
    <row r="270" spans="1:2" x14ac:dyDescent="0.2">
      <c r="A270" s="4" t="str">
        <f>HYPERLINK("http://cdn.wpsstatic.com/images/full/1bbd-6040f8287c74e.jpg", "http://cdn.wpsstatic.com/images/full/1bbd-6040f8287c74e.jpg")</f>
        <v>http://cdn.wpsstatic.com/images/full/1bbd-6040f8287c74e.jpg</v>
      </c>
      <c r="B270" s="5" t="s">
        <v>270</v>
      </c>
    </row>
    <row r="271" spans="1:2" x14ac:dyDescent="0.2">
      <c r="A271" s="4" t="str">
        <f>HYPERLINK("http://cdn.wpsstatic.com/images/full/1bd2-572a526b82a87.jpg", "http://cdn.wpsstatic.com/images/full/1bd2-572a526b82a87.jpg")</f>
        <v>http://cdn.wpsstatic.com/images/full/1bd2-572a526b82a87.jpg</v>
      </c>
      <c r="B271" s="5" t="s">
        <v>271</v>
      </c>
    </row>
    <row r="272" spans="1:2" x14ac:dyDescent="0.2">
      <c r="A272" s="4" t="str">
        <f>HYPERLINK("http://cdn.wpsstatic.com/images/full/1be8-5c21303bea1e2.jpg", "http://cdn.wpsstatic.com/images/full/1be8-5c21303bea1e2.jpg")</f>
        <v>http://cdn.wpsstatic.com/images/full/1be8-5c21303bea1e2.jpg</v>
      </c>
      <c r="B272" s="5" t="s">
        <v>272</v>
      </c>
    </row>
    <row r="273" spans="1:2" x14ac:dyDescent="0.2">
      <c r="A273" s="4" t="str">
        <f>HYPERLINK("http://cdn.wpsstatic.com/images/full/1be8-5c21303bea1e2.jpg", "http://cdn.wpsstatic.com/images/full/1be8-5c21303bea1e2.jpg")</f>
        <v>http://cdn.wpsstatic.com/images/full/1be8-5c21303bea1e2.jpg</v>
      </c>
      <c r="B273" s="5" t="s">
        <v>273</v>
      </c>
    </row>
    <row r="274" spans="1:2" x14ac:dyDescent="0.2">
      <c r="A274" s="4" t="str">
        <f>HYPERLINK("http://cdn.wpsstatic.com/images/full/1be8-5c21303bea1e2.jpg", "http://cdn.wpsstatic.com/images/full/1be8-5c21303bea1e2.jpg")</f>
        <v>http://cdn.wpsstatic.com/images/full/1be8-5c21303bea1e2.jpg</v>
      </c>
      <c r="B274" s="5" t="s">
        <v>274</v>
      </c>
    </row>
    <row r="275" spans="1:2" x14ac:dyDescent="0.2">
      <c r="A275" s="4" t="str">
        <f>HYPERLINK("http://cdn.wpsstatic.com/images/full/1be8-5c21303bea1e2.jpg", "http://cdn.wpsstatic.com/images/full/1be8-5c21303bea1e2.jpg")</f>
        <v>http://cdn.wpsstatic.com/images/full/1be8-5c21303bea1e2.jpg</v>
      </c>
      <c r="B275" s="5" t="s">
        <v>275</v>
      </c>
    </row>
    <row r="276" spans="1:2" x14ac:dyDescent="0.2">
      <c r="A276" s="4" t="str">
        <f>HYPERLINK("http://cdn.wpsstatic.com/images/full/1be8-5c21303bea1e2.jpg", "http://cdn.wpsstatic.com/images/full/1be8-5c21303bea1e2.jpg")</f>
        <v>http://cdn.wpsstatic.com/images/full/1be8-5c21303bea1e2.jpg</v>
      </c>
      <c r="B276" s="5" t="s">
        <v>276</v>
      </c>
    </row>
    <row r="277" spans="1:2" x14ac:dyDescent="0.2">
      <c r="A277" s="4" t="str">
        <f>HYPERLINK("http://cdn.wpsstatic.com/images/full/1be8-5c21303bea1e2.jpg", "http://cdn.wpsstatic.com/images/full/1be8-5c21303bea1e2.jpg")</f>
        <v>http://cdn.wpsstatic.com/images/full/1be8-5c21303bea1e2.jpg</v>
      </c>
      <c r="B277" s="5" t="s">
        <v>277</v>
      </c>
    </row>
    <row r="278" spans="1:2" x14ac:dyDescent="0.2">
      <c r="A278" s="4" t="str">
        <f>HYPERLINK("http://cdn.wpsstatic.com/images/full/1be8-5c21303bea1e2.jpg", "http://cdn.wpsstatic.com/images/full/1be8-5c21303bea1e2.jpg")</f>
        <v>http://cdn.wpsstatic.com/images/full/1be8-5c21303bea1e2.jpg</v>
      </c>
      <c r="B278" s="5" t="s">
        <v>278</v>
      </c>
    </row>
    <row r="279" spans="1:2" x14ac:dyDescent="0.2">
      <c r="A279" s="4" t="str">
        <f>HYPERLINK("http://cdn.wpsstatic.com/images/full/1be8-5c21303bea1e2.jpg", "http://cdn.wpsstatic.com/images/full/1be8-5c21303bea1e2.jpg")</f>
        <v>http://cdn.wpsstatic.com/images/full/1be8-5c21303bea1e2.jpg</v>
      </c>
      <c r="B279" s="5" t="s">
        <v>279</v>
      </c>
    </row>
    <row r="280" spans="1:2" x14ac:dyDescent="0.2">
      <c r="A280" s="4" t="str">
        <f>HYPERLINK("http://cdn.wpsstatic.com/images/full/1c47-572a551b49c95.jpg", "http://cdn.wpsstatic.com/images/full/1c47-572a551b49c95.jpg")</f>
        <v>http://cdn.wpsstatic.com/images/full/1c47-572a551b49c95.jpg</v>
      </c>
      <c r="B280" s="5" t="s">
        <v>280</v>
      </c>
    </row>
    <row r="281" spans="1:2" x14ac:dyDescent="0.2">
      <c r="A281" s="4" t="str">
        <f>HYPERLINK("http://cdn.wpsstatic.com/images/full/1c4c-5f52a5e8e437f.jpg", "http://cdn.wpsstatic.com/images/full/1c4c-5f52a5e8e437f.jpg")</f>
        <v>http://cdn.wpsstatic.com/images/full/1c4c-5f52a5e8e437f.jpg</v>
      </c>
      <c r="B281" s="5" t="s">
        <v>281</v>
      </c>
    </row>
    <row r="282" spans="1:2" x14ac:dyDescent="0.2">
      <c r="A282" s="4" t="str">
        <f>HYPERLINK("http://cdn.wpsstatic.com/images/full/1c4e-572a5562a5102.jpg", "http://cdn.wpsstatic.com/images/full/1c4e-572a5562a5102.jpg")</f>
        <v>http://cdn.wpsstatic.com/images/full/1c4e-572a5562a5102.jpg</v>
      </c>
      <c r="B282" s="5" t="s">
        <v>282</v>
      </c>
    </row>
    <row r="283" spans="1:2" x14ac:dyDescent="0.2">
      <c r="A283" s="4" t="str">
        <f>HYPERLINK("http://cdn.wpsstatic.com/images/full/1c54-572a53418e29b.jpg", "http://cdn.wpsstatic.com/images/full/1c54-572a53418e29b.jpg")</f>
        <v>http://cdn.wpsstatic.com/images/full/1c54-572a53418e29b.jpg</v>
      </c>
      <c r="B283" s="5" t="s">
        <v>283</v>
      </c>
    </row>
    <row r="284" spans="1:2" x14ac:dyDescent="0.2">
      <c r="A284" s="4" t="str">
        <f>HYPERLINK("http://cdn.wpsstatic.com/images/full/1c5e-5d028b2254f00.jpg", "http://cdn.wpsstatic.com/images/full/1c5e-5d028b2254f00.jpg")</f>
        <v>http://cdn.wpsstatic.com/images/full/1c5e-5d028b2254f00.jpg</v>
      </c>
      <c r="B284" s="5" t="s">
        <v>284</v>
      </c>
    </row>
    <row r="285" spans="1:2" x14ac:dyDescent="0.2">
      <c r="A285" s="4" t="str">
        <f>HYPERLINK("http://cdn.wpsstatic.com/images/full/1c6d-572a55703c931.jpg", "http://cdn.wpsstatic.com/images/full/1c6d-572a55703c931.jpg")</f>
        <v>http://cdn.wpsstatic.com/images/full/1c6d-572a55703c931.jpg</v>
      </c>
      <c r="B285" s="5" t="s">
        <v>285</v>
      </c>
    </row>
    <row r="286" spans="1:2" x14ac:dyDescent="0.2">
      <c r="A286" s="4" t="str">
        <f>HYPERLINK("http://cdn.wpsstatic.com/images/full/1ca0-572a54a6302f5.jpg", "http://cdn.wpsstatic.com/images/full/1ca0-572a54a6302f5.jpg")</f>
        <v>http://cdn.wpsstatic.com/images/full/1ca0-572a54a6302f5.jpg</v>
      </c>
      <c r="B286" s="5" t="s">
        <v>286</v>
      </c>
    </row>
    <row r="287" spans="1:2" x14ac:dyDescent="0.2">
      <c r="A287" s="4" t="str">
        <f>HYPERLINK("http://cdn.wpsstatic.com/images/full/1cca-5d029ef3e4f32.jpg", "http://cdn.wpsstatic.com/images/full/1cca-5d029ef3e4f32.jpg")</f>
        <v>http://cdn.wpsstatic.com/images/full/1cca-5d029ef3e4f32.jpg</v>
      </c>
      <c r="B287" s="5" t="s">
        <v>287</v>
      </c>
    </row>
    <row r="288" spans="1:2" x14ac:dyDescent="0.2">
      <c r="A288" s="4" t="str">
        <f>HYPERLINK("http://cdn.wpsstatic.com/images/full/1ce2-5885c1ea91358.jpg", "http://cdn.wpsstatic.com/images/full/1ce2-5885c1ea91358.jpg")</f>
        <v>http://cdn.wpsstatic.com/images/full/1ce2-5885c1ea91358.jpg</v>
      </c>
      <c r="B288" s="5" t="s">
        <v>288</v>
      </c>
    </row>
    <row r="289" spans="1:2" x14ac:dyDescent="0.2">
      <c r="A289" s="4" t="str">
        <f>HYPERLINK("http://cdn.wpsstatic.com/images/full/1ced-572a525f3fdda.jpg", "http://cdn.wpsstatic.com/images/full/1ced-572a525f3fdda.jpg")</f>
        <v>http://cdn.wpsstatic.com/images/full/1ced-572a525f3fdda.jpg</v>
      </c>
      <c r="B289" s="5" t="s">
        <v>289</v>
      </c>
    </row>
    <row r="290" spans="1:2" x14ac:dyDescent="0.2">
      <c r="A290" s="4" t="str">
        <f>HYPERLINK("http://cdn.wpsstatic.com/images/full/1d0f-572a53bc82bbe.jpg", "http://cdn.wpsstatic.com/images/full/1d0f-572a53bc82bbe.jpg")</f>
        <v>http://cdn.wpsstatic.com/images/full/1d0f-572a53bc82bbe.jpg</v>
      </c>
      <c r="B290" s="5" t="s">
        <v>290</v>
      </c>
    </row>
    <row r="291" spans="1:2" x14ac:dyDescent="0.2">
      <c r="A291" s="4" t="str">
        <f>HYPERLINK("http://cdn.wpsstatic.com/images/full/1d35-5fb845f7724f2.jpg", "http://cdn.wpsstatic.com/images/full/1d35-5fb845f7724f2.jpg")</f>
        <v>http://cdn.wpsstatic.com/images/full/1d35-5fb845f7724f2.jpg</v>
      </c>
      <c r="B291" s="5" t="s">
        <v>291</v>
      </c>
    </row>
    <row r="292" spans="1:2" x14ac:dyDescent="0.2">
      <c r="A292" s="4" t="str">
        <f>HYPERLINK("http://cdn.wpsstatic.com/images/full/1d3c-63643b28e1ae2.png", "http://cdn.wpsstatic.com/images/full/1d3c-63643b28e1ae2.png")</f>
        <v>http://cdn.wpsstatic.com/images/full/1d3c-63643b28e1ae2.png</v>
      </c>
      <c r="B292" s="5" t="s">
        <v>292</v>
      </c>
    </row>
    <row r="293" spans="1:2" x14ac:dyDescent="0.2">
      <c r="A293" s="4" t="str">
        <f>HYPERLINK("http://cdn.wpsstatic.com/images/full/1d75-572a532151954.jpg", "http://cdn.wpsstatic.com/images/full/1d75-572a532151954.jpg")</f>
        <v>http://cdn.wpsstatic.com/images/full/1d75-572a532151954.jpg</v>
      </c>
      <c r="B293" s="5" t="s">
        <v>293</v>
      </c>
    </row>
    <row r="294" spans="1:2" x14ac:dyDescent="0.2">
      <c r="A294" s="4" t="str">
        <f>HYPERLINK("http://cdn.wpsstatic.com/images/full/1d75-572a532151954.jpg", "http://cdn.wpsstatic.com/images/full/1d75-572a532151954.jpg")</f>
        <v>http://cdn.wpsstatic.com/images/full/1d75-572a532151954.jpg</v>
      </c>
      <c r="B294" s="5" t="s">
        <v>294</v>
      </c>
    </row>
    <row r="295" spans="1:2" x14ac:dyDescent="0.2">
      <c r="A295" s="4" t="str">
        <f>HYPERLINK("http://cdn.wpsstatic.com/images/full/1d75-572a532151954.jpg", "http://cdn.wpsstatic.com/images/full/1d75-572a532151954.jpg")</f>
        <v>http://cdn.wpsstatic.com/images/full/1d75-572a532151954.jpg</v>
      </c>
      <c r="B295" s="5" t="s">
        <v>295</v>
      </c>
    </row>
    <row r="296" spans="1:2" x14ac:dyDescent="0.2">
      <c r="A296" s="4" t="str">
        <f>HYPERLINK("http://cdn.wpsstatic.com/images/full/1d95-5d029d2d9c910.jpg", "http://cdn.wpsstatic.com/images/full/1d95-5d029d2d9c910.jpg")</f>
        <v>http://cdn.wpsstatic.com/images/full/1d95-5d029d2d9c910.jpg</v>
      </c>
      <c r="B296" s="5" t="s">
        <v>296</v>
      </c>
    </row>
    <row r="297" spans="1:2" x14ac:dyDescent="0.2">
      <c r="A297" s="4" t="str">
        <f>HYPERLINK("http://cdn.wpsstatic.com/images/full/1dba-572a52c897cf5.jpg", "http://cdn.wpsstatic.com/images/full/1dba-572a52c897cf5.jpg")</f>
        <v>http://cdn.wpsstatic.com/images/full/1dba-572a52c897cf5.jpg</v>
      </c>
      <c r="B297" s="5" t="s">
        <v>297</v>
      </c>
    </row>
    <row r="298" spans="1:2" x14ac:dyDescent="0.2">
      <c r="A298" s="4" t="str">
        <f>HYPERLINK("http://cdn.wpsstatic.com/images/full/1df1-572a5451d9fbd.jpg", "http://cdn.wpsstatic.com/images/full/1df1-572a5451d9fbd.jpg")</f>
        <v>http://cdn.wpsstatic.com/images/full/1df1-572a5451d9fbd.jpg</v>
      </c>
      <c r="B298" s="5" t="s">
        <v>298</v>
      </c>
    </row>
    <row r="299" spans="1:2" x14ac:dyDescent="0.2">
      <c r="A299" s="4" t="str">
        <f>HYPERLINK("http://cdn.wpsstatic.com/images/full/1e0b-572a53855dbc1.jpg", "http://cdn.wpsstatic.com/images/full/1e0b-572a53855dbc1.jpg")</f>
        <v>http://cdn.wpsstatic.com/images/full/1e0b-572a53855dbc1.jpg</v>
      </c>
      <c r="B299" s="5" t="s">
        <v>299</v>
      </c>
    </row>
    <row r="300" spans="1:2" x14ac:dyDescent="0.2">
      <c r="A300" s="4" t="str">
        <f>HYPERLINK("http://cdn.wpsstatic.com/images/full/1e0d-572a550a644b4.jpg", "http://cdn.wpsstatic.com/images/full/1e0d-572a550a644b4.jpg")</f>
        <v>http://cdn.wpsstatic.com/images/full/1e0d-572a550a644b4.jpg</v>
      </c>
      <c r="B300" s="5" t="s">
        <v>300</v>
      </c>
    </row>
    <row r="301" spans="1:2" x14ac:dyDescent="0.2">
      <c r="A301" s="4" t="str">
        <f>HYPERLINK("http://cdn.wpsstatic.com/images/full/1e0e-60bfdc23a4817.png", "http://cdn.wpsstatic.com/images/full/1e0e-60bfdc23a4817.png")</f>
        <v>http://cdn.wpsstatic.com/images/full/1e0e-60bfdc23a4817.png</v>
      </c>
      <c r="B301" s="5" t="s">
        <v>301</v>
      </c>
    </row>
    <row r="302" spans="1:2" x14ac:dyDescent="0.2">
      <c r="A302" s="4" t="str">
        <f>HYPERLINK("http://cdn.wpsstatic.com/images/full/1e2a-5fb4479eadf0a.jpg", "http://cdn.wpsstatic.com/images/full/1e2a-5fb4479eadf0a.jpg")</f>
        <v>http://cdn.wpsstatic.com/images/full/1e2a-5fb4479eadf0a.jpg</v>
      </c>
      <c r="B302" s="5" t="s">
        <v>302</v>
      </c>
    </row>
    <row r="303" spans="1:2" x14ac:dyDescent="0.2">
      <c r="A303" s="4" t="str">
        <f>HYPERLINK("http://cdn.wpsstatic.com/images/full/1e4b-572a53bf2d8f6.jpg", "http://cdn.wpsstatic.com/images/full/1e4b-572a53bf2d8f6.jpg")</f>
        <v>http://cdn.wpsstatic.com/images/full/1e4b-572a53bf2d8f6.jpg</v>
      </c>
      <c r="B303" s="5" t="s">
        <v>303</v>
      </c>
    </row>
    <row r="304" spans="1:2" x14ac:dyDescent="0.2">
      <c r="A304" s="4" t="str">
        <f>HYPERLINK("http://cdn.wpsstatic.com/images/full/1e4c-5f57ad3eb8e6d.jpg", "http://cdn.wpsstatic.com/images/full/1e4c-5f57ad3eb8e6d.jpg")</f>
        <v>http://cdn.wpsstatic.com/images/full/1e4c-5f57ad3eb8e6d.jpg</v>
      </c>
      <c r="B304" s="5" t="s">
        <v>304</v>
      </c>
    </row>
    <row r="305" spans="1:2" x14ac:dyDescent="0.2">
      <c r="A305" s="4" t="str">
        <f>HYPERLINK("http://cdn.wpsstatic.com/images/full/1e6a-5fb45411eafe8.jpg", "http://cdn.wpsstatic.com/images/full/1e6a-5fb45411eafe8.jpg")</f>
        <v>http://cdn.wpsstatic.com/images/full/1e6a-5fb45411eafe8.jpg</v>
      </c>
      <c r="B305" s="5" t="s">
        <v>305</v>
      </c>
    </row>
    <row r="306" spans="1:2" x14ac:dyDescent="0.2">
      <c r="A306" s="4" t="str">
        <f>HYPERLINK("http://cdn.wpsstatic.com/images/full/1e74-572a54c616f9a.jpg", "http://cdn.wpsstatic.com/images/full/1e74-572a54c616f9a.jpg")</f>
        <v>http://cdn.wpsstatic.com/images/full/1e74-572a54c616f9a.jpg</v>
      </c>
      <c r="B306" s="5" t="s">
        <v>306</v>
      </c>
    </row>
    <row r="307" spans="1:2" x14ac:dyDescent="0.2">
      <c r="A307" s="4" t="str">
        <f>HYPERLINK("http://cdn.wpsstatic.com/images/full/1e82-572a5384774a2.jpg", "http://cdn.wpsstatic.com/images/full/1e82-572a5384774a2.jpg")</f>
        <v>http://cdn.wpsstatic.com/images/full/1e82-572a5384774a2.jpg</v>
      </c>
      <c r="B307" s="5" t="s">
        <v>307</v>
      </c>
    </row>
    <row r="308" spans="1:2" x14ac:dyDescent="0.2">
      <c r="A308" s="4" t="str">
        <f>HYPERLINK("http://cdn.wpsstatic.com/images/full/1e9f-5885c2f19ee9d.jpg", "http://cdn.wpsstatic.com/images/full/1e9f-5885c2f19ee9d.jpg")</f>
        <v>http://cdn.wpsstatic.com/images/full/1e9f-5885c2f19ee9d.jpg</v>
      </c>
      <c r="B308" s="5" t="s">
        <v>308</v>
      </c>
    </row>
    <row r="309" spans="1:2" x14ac:dyDescent="0.2">
      <c r="A309" s="4" t="str">
        <f>HYPERLINK("http://cdn.wpsstatic.com/images/full/1ea7-572a53ac09c60.jpg", "http://cdn.wpsstatic.com/images/full/1ea7-572a53ac09c60.jpg")</f>
        <v>http://cdn.wpsstatic.com/images/full/1ea7-572a53ac09c60.jpg</v>
      </c>
      <c r="B309" s="5" t="s">
        <v>309</v>
      </c>
    </row>
    <row r="310" spans="1:2" x14ac:dyDescent="0.2">
      <c r="A310" s="4" t="str">
        <f>HYPERLINK("http://cdn.wpsstatic.com/images/full/1eca-572a53fe95692.jpg", "http://cdn.wpsstatic.com/images/full/1eca-572a53fe95692.jpg")</f>
        <v>http://cdn.wpsstatic.com/images/full/1eca-572a53fe95692.jpg</v>
      </c>
      <c r="B310" s="5" t="s">
        <v>310</v>
      </c>
    </row>
    <row r="311" spans="1:2" x14ac:dyDescent="0.2">
      <c r="A311" s="4" t="str">
        <f>HYPERLINK("http://cdn.wpsstatic.com/images/full/1ee1-572a55802ecfb.jpg", "http://cdn.wpsstatic.com/images/full/1ee1-572a55802ecfb.jpg")</f>
        <v>http://cdn.wpsstatic.com/images/full/1ee1-572a55802ecfb.jpg</v>
      </c>
      <c r="B311" s="5" t="s">
        <v>311</v>
      </c>
    </row>
    <row r="312" spans="1:2" x14ac:dyDescent="0.2">
      <c r="A312" s="4" t="str">
        <f>HYPERLINK("http://cdn.wpsstatic.com/images/full/1f00-572a532c27df3.jpg", "http://cdn.wpsstatic.com/images/full/1f00-572a532c27df3.jpg")</f>
        <v>http://cdn.wpsstatic.com/images/full/1f00-572a532c27df3.jpg</v>
      </c>
      <c r="B312" s="5" t="s">
        <v>312</v>
      </c>
    </row>
    <row r="313" spans="1:2" x14ac:dyDescent="0.2">
      <c r="A313" s="4" t="str">
        <f>HYPERLINK("http://cdn.wpsstatic.com/images/full/1f7e-572a52b07aeb3.jpg", "http://cdn.wpsstatic.com/images/full/1f7e-572a52b07aeb3.jpg")</f>
        <v>http://cdn.wpsstatic.com/images/full/1f7e-572a52b07aeb3.jpg</v>
      </c>
      <c r="B313" s="5" t="s">
        <v>313</v>
      </c>
    </row>
    <row r="314" spans="1:2" x14ac:dyDescent="0.2">
      <c r="A314" s="4" t="str">
        <f>HYPERLINK("http://cdn.wpsstatic.com/images/full/1f83-572a530d12595.jpg", "http://cdn.wpsstatic.com/images/full/1f83-572a530d12595.jpg")</f>
        <v>http://cdn.wpsstatic.com/images/full/1f83-572a530d12595.jpg</v>
      </c>
      <c r="B314" s="5" t="s">
        <v>314</v>
      </c>
    </row>
    <row r="315" spans="1:2" x14ac:dyDescent="0.2">
      <c r="A315" s="4" t="str">
        <f>HYPERLINK("http://cdn.wpsstatic.com/images/full/1f8b-572a54a482b52.jpg", "http://cdn.wpsstatic.com/images/full/1f8b-572a54a482b52.jpg")</f>
        <v>http://cdn.wpsstatic.com/images/full/1f8b-572a54a482b52.jpg</v>
      </c>
      <c r="B315" s="5" t="s">
        <v>315</v>
      </c>
    </row>
    <row r="316" spans="1:2" x14ac:dyDescent="0.2">
      <c r="A316" s="4" t="str">
        <f>HYPERLINK("http://cdn.wpsstatic.com/images/full/1f90-572a54b387ace.jpg", "http://cdn.wpsstatic.com/images/full/1f90-572a54b387ace.jpg")</f>
        <v>http://cdn.wpsstatic.com/images/full/1f90-572a54b387ace.jpg</v>
      </c>
      <c r="B316" s="5" t="s">
        <v>316</v>
      </c>
    </row>
    <row r="317" spans="1:2" x14ac:dyDescent="0.2">
      <c r="A317" s="4" t="str">
        <f>HYPERLINK("http://cdn.wpsstatic.com/images/full/1f9e-572a54b60f669.jpg", "http://cdn.wpsstatic.com/images/full/1f9e-572a54b60f669.jpg")</f>
        <v>http://cdn.wpsstatic.com/images/full/1f9e-572a54b60f669.jpg</v>
      </c>
      <c r="B317" s="5" t="s">
        <v>317</v>
      </c>
    </row>
    <row r="318" spans="1:2" x14ac:dyDescent="0.2">
      <c r="A318" s="4" t="str">
        <f>HYPERLINK("http://cdn.wpsstatic.com/images/full/1fa2-5ecd3c3b4dd83.jpg", "http://cdn.wpsstatic.com/images/full/1fa2-5ecd3c3b4dd83.jpg")</f>
        <v>http://cdn.wpsstatic.com/images/full/1fa2-5ecd3c3b4dd83.jpg</v>
      </c>
      <c r="B318" s="5" t="s">
        <v>318</v>
      </c>
    </row>
    <row r="319" spans="1:2" x14ac:dyDescent="0.2">
      <c r="A319" s="4" t="str">
        <f>HYPERLINK("http://cdn.wpsstatic.com/images/full/1fb8-5d7900f39882a.jpg", "http://cdn.wpsstatic.com/images/full/1fb8-5d7900f39882a.jpg")</f>
        <v>http://cdn.wpsstatic.com/images/full/1fb8-5d7900f39882a.jpg</v>
      </c>
      <c r="B319" s="5" t="s">
        <v>319</v>
      </c>
    </row>
    <row r="320" spans="1:2" x14ac:dyDescent="0.2">
      <c r="A320" s="4" t="str">
        <f>HYPERLINK("http://cdn.wpsstatic.com/images/full/1fd1-61041b21d58e7.png", "http://cdn.wpsstatic.com/images/full/1fd1-61041b21d58e7.png")</f>
        <v>http://cdn.wpsstatic.com/images/full/1fd1-61041b21d58e7.png</v>
      </c>
      <c r="B320" s="5" t="s">
        <v>320</v>
      </c>
    </row>
    <row r="321" spans="1:2" x14ac:dyDescent="0.2">
      <c r="A321" s="4" t="str">
        <f>HYPERLINK("http://cdn.wpsstatic.com/images/full/1fd3-572a55695fc91.jpg", "http://cdn.wpsstatic.com/images/full/1fd3-572a55695fc91.jpg")</f>
        <v>http://cdn.wpsstatic.com/images/full/1fd3-572a55695fc91.jpg</v>
      </c>
      <c r="B321" s="5" t="s">
        <v>321</v>
      </c>
    </row>
    <row r="322" spans="1:2" x14ac:dyDescent="0.2">
      <c r="A322" s="4" t="str">
        <f>HYPERLINK("http://cdn.wpsstatic.com/images/full/1fe8-572a54745b717.jpg", "http://cdn.wpsstatic.com/images/full/1fe8-572a54745b717.jpg")</f>
        <v>http://cdn.wpsstatic.com/images/full/1fe8-572a54745b717.jpg</v>
      </c>
      <c r="B322" s="5" t="s">
        <v>322</v>
      </c>
    </row>
    <row r="323" spans="1:2" x14ac:dyDescent="0.2">
      <c r="A323" s="4" t="str">
        <f>HYPERLINK("http://cdn.wpsstatic.com/images/full/1fe8-572a55495c850.jpg", "http://cdn.wpsstatic.com/images/full/1fe8-572a55495c850.jpg")</f>
        <v>http://cdn.wpsstatic.com/images/full/1fe8-572a55495c850.jpg</v>
      </c>
      <c r="B323" s="5" t="s">
        <v>323</v>
      </c>
    </row>
    <row r="324" spans="1:2" x14ac:dyDescent="0.2">
      <c r="A324" s="4" t="str">
        <f>HYPERLINK("http://cdn.wpsstatic.com/images/full/2008-572a53351f407.jpg", "http://cdn.wpsstatic.com/images/full/2008-572a53351f407.jpg")</f>
        <v>http://cdn.wpsstatic.com/images/full/2008-572a53351f407.jpg</v>
      </c>
      <c r="B324" s="5" t="s">
        <v>324</v>
      </c>
    </row>
    <row r="325" spans="1:2" x14ac:dyDescent="0.2">
      <c r="A325" s="4" t="str">
        <f>HYPERLINK("http://cdn.wpsstatic.com/images/full/201f-572a563239fb2.jpg", "http://cdn.wpsstatic.com/images/full/201f-572a563239fb2.jpg")</f>
        <v>http://cdn.wpsstatic.com/images/full/201f-572a563239fb2.jpg</v>
      </c>
      <c r="B325" s="5" t="s">
        <v>325</v>
      </c>
    </row>
    <row r="326" spans="1:2" x14ac:dyDescent="0.2">
      <c r="A326" s="4" t="str">
        <f>HYPERLINK("http://cdn.wpsstatic.com/images/full/201f-5885c25da5804.jpg", "http://cdn.wpsstatic.com/images/full/201f-5885c25da5804.jpg")</f>
        <v>http://cdn.wpsstatic.com/images/full/201f-5885c25da5804.jpg</v>
      </c>
      <c r="B326" s="5" t="s">
        <v>326</v>
      </c>
    </row>
    <row r="327" spans="1:2" x14ac:dyDescent="0.2">
      <c r="A327" s="4" t="str">
        <f>HYPERLINK("http://cdn.wpsstatic.com/images/full/2032-572a53550c32d.jpg", "http://cdn.wpsstatic.com/images/full/2032-572a53550c32d.jpg")</f>
        <v>http://cdn.wpsstatic.com/images/full/2032-572a53550c32d.jpg</v>
      </c>
      <c r="B327" s="5" t="s">
        <v>327</v>
      </c>
    </row>
    <row r="328" spans="1:2" x14ac:dyDescent="0.2">
      <c r="A328" s="4" t="str">
        <f>HYPERLINK("http://cdn.wpsstatic.com/images/full/203f-572a5590d057f.jpg", "http://cdn.wpsstatic.com/images/full/203f-572a5590d057f.jpg")</f>
        <v>http://cdn.wpsstatic.com/images/full/203f-572a5590d057f.jpg</v>
      </c>
      <c r="B328" s="5" t="s">
        <v>328</v>
      </c>
    </row>
    <row r="329" spans="1:2" x14ac:dyDescent="0.2">
      <c r="A329" s="4" t="str">
        <f>HYPERLINK("http://cdn.wpsstatic.com/images/full/2040-5885c247eb73a.jpg", "http://cdn.wpsstatic.com/images/full/2040-5885c247eb73a.jpg")</f>
        <v>http://cdn.wpsstatic.com/images/full/2040-5885c247eb73a.jpg</v>
      </c>
      <c r="B329" s="5" t="s">
        <v>329</v>
      </c>
    </row>
    <row r="330" spans="1:2" x14ac:dyDescent="0.2">
      <c r="A330" s="4" t="str">
        <f>HYPERLINK("http://cdn.wpsstatic.com/images/full/2048-572a537b2d38a.jpg", "http://cdn.wpsstatic.com/images/full/2048-572a537b2d38a.jpg")</f>
        <v>http://cdn.wpsstatic.com/images/full/2048-572a537b2d38a.jpg</v>
      </c>
      <c r="B330" s="5" t="s">
        <v>330</v>
      </c>
    </row>
    <row r="331" spans="1:2" x14ac:dyDescent="0.2">
      <c r="A331" s="4" t="str">
        <f>HYPERLINK("http://cdn.wpsstatic.com/images/full/205c-572a53a70a04d.jpg", "http://cdn.wpsstatic.com/images/full/205c-572a53a70a04d.jpg")</f>
        <v>http://cdn.wpsstatic.com/images/full/205c-572a53a70a04d.jpg</v>
      </c>
      <c r="B331" s="5" t="s">
        <v>331</v>
      </c>
    </row>
    <row r="332" spans="1:2" x14ac:dyDescent="0.2">
      <c r="A332" s="4" t="str">
        <f>HYPERLINK("http://cdn.wpsstatic.com/images/full/20a2-572a53cbc7ad4.jpg", "http://cdn.wpsstatic.com/images/full/20a2-572a53cbc7ad4.jpg")</f>
        <v>http://cdn.wpsstatic.com/images/full/20a2-572a53cbc7ad4.jpg</v>
      </c>
      <c r="B332" s="5" t="s">
        <v>332</v>
      </c>
    </row>
    <row r="333" spans="1:2" x14ac:dyDescent="0.2">
      <c r="A333" s="4" t="str">
        <f>HYPERLINK("http://cdn.wpsstatic.com/images/full/20bf-572a533f29a89.jpg", "http://cdn.wpsstatic.com/images/full/20bf-572a533f29a89.jpg")</f>
        <v>http://cdn.wpsstatic.com/images/full/20bf-572a533f29a89.jpg</v>
      </c>
      <c r="B333" s="5" t="s">
        <v>333</v>
      </c>
    </row>
    <row r="334" spans="1:2" x14ac:dyDescent="0.2">
      <c r="A334" s="4" t="str">
        <f>HYPERLINK("http://cdn.wpsstatic.com/images/full/20c3-572a54cccdbfa.jpg", "http://cdn.wpsstatic.com/images/full/20c3-572a54cccdbfa.jpg")</f>
        <v>http://cdn.wpsstatic.com/images/full/20c3-572a54cccdbfa.jpg</v>
      </c>
      <c r="B334" s="5" t="s">
        <v>334</v>
      </c>
    </row>
    <row r="335" spans="1:2" x14ac:dyDescent="0.2">
      <c r="A335" s="4" t="str">
        <f>HYPERLINK("http://cdn.wpsstatic.com/images/full/2109-5d028e65b8f08.jpg", "http://cdn.wpsstatic.com/images/full/2109-5d028e65b8f08.jpg")</f>
        <v>http://cdn.wpsstatic.com/images/full/2109-5d028e65b8f08.jpg</v>
      </c>
      <c r="B335" s="5" t="s">
        <v>335</v>
      </c>
    </row>
    <row r="336" spans="1:2" x14ac:dyDescent="0.2">
      <c r="A336" s="4" t="str">
        <f>HYPERLINK("http://cdn.wpsstatic.com/images/full/210a-572a5515cd414.jpg", "http://cdn.wpsstatic.com/images/full/210a-572a5515cd414.jpg")</f>
        <v>http://cdn.wpsstatic.com/images/full/210a-572a5515cd414.jpg</v>
      </c>
      <c r="B336" s="5" t="s">
        <v>336</v>
      </c>
    </row>
    <row r="337" spans="1:2" x14ac:dyDescent="0.2">
      <c r="A337" s="4" t="str">
        <f>HYPERLINK("http://cdn.wpsstatic.com/images/full/212a-5e023a7b7403f.jpg", "http://cdn.wpsstatic.com/images/full/212a-5e023a7b7403f.jpg")</f>
        <v>http://cdn.wpsstatic.com/images/full/212a-5e023a7b7403f.jpg</v>
      </c>
      <c r="B337" s="5" t="s">
        <v>337</v>
      </c>
    </row>
    <row r="338" spans="1:2" x14ac:dyDescent="0.2">
      <c r="A338" s="4" t="str">
        <f>HYPERLINK("http://cdn.wpsstatic.com/images/full/2166-5885c25b719ee.jpg", "http://cdn.wpsstatic.com/images/full/2166-5885c25b719ee.jpg")</f>
        <v>http://cdn.wpsstatic.com/images/full/2166-5885c25b719ee.jpg</v>
      </c>
      <c r="B338" s="5" t="s">
        <v>338</v>
      </c>
    </row>
    <row r="339" spans="1:2" x14ac:dyDescent="0.2">
      <c r="A339" s="4" t="str">
        <f>HYPERLINK("http://cdn.wpsstatic.com/images/full/2189-572a544d2db0a.jpg", "http://cdn.wpsstatic.com/images/full/2189-572a544d2db0a.jpg")</f>
        <v>http://cdn.wpsstatic.com/images/full/2189-572a544d2db0a.jpg</v>
      </c>
      <c r="B339" s="5" t="s">
        <v>339</v>
      </c>
    </row>
    <row r="340" spans="1:2" x14ac:dyDescent="0.2">
      <c r="A340" s="4" t="str">
        <f>HYPERLINK("http://cdn.wpsstatic.com/images/full/219b-5d029a3438712.jpg", "http://cdn.wpsstatic.com/images/full/219b-5d029a3438712.jpg")</f>
        <v>http://cdn.wpsstatic.com/images/full/219b-5d029a3438712.jpg</v>
      </c>
      <c r="B340" s="5" t="s">
        <v>340</v>
      </c>
    </row>
    <row r="341" spans="1:2" x14ac:dyDescent="0.2">
      <c r="A341" s="4" t="str">
        <f>HYPERLINK("http://cdn.wpsstatic.com/images/full/21b6-5d029bbdcdf03.jpg", "http://cdn.wpsstatic.com/images/full/21b6-5d029bbdcdf03.jpg")</f>
        <v>http://cdn.wpsstatic.com/images/full/21b6-5d029bbdcdf03.jpg</v>
      </c>
      <c r="B341" s="5" t="s">
        <v>341</v>
      </c>
    </row>
    <row r="342" spans="1:2" x14ac:dyDescent="0.2">
      <c r="A342" s="4" t="str">
        <f>HYPERLINK("http://cdn.wpsstatic.com/images/full/21fb-572a53c934384.jpg", "http://cdn.wpsstatic.com/images/full/21fb-572a53c934384.jpg")</f>
        <v>http://cdn.wpsstatic.com/images/full/21fb-572a53c934384.jpg</v>
      </c>
      <c r="B342" s="5" t="s">
        <v>342</v>
      </c>
    </row>
    <row r="343" spans="1:2" x14ac:dyDescent="0.2">
      <c r="A343" s="4" t="str">
        <f>HYPERLINK("http://cdn.wpsstatic.com/images/full/2249-60a6a9e284405.png", "http://cdn.wpsstatic.com/images/full/2249-60a6a9e284405.png")</f>
        <v>http://cdn.wpsstatic.com/images/full/2249-60a6a9e284405.png</v>
      </c>
      <c r="B343" s="5" t="s">
        <v>343</v>
      </c>
    </row>
    <row r="344" spans="1:2" x14ac:dyDescent="0.2">
      <c r="A344" s="4" t="str">
        <f>HYPERLINK("http://cdn.wpsstatic.com/images/full/2256-572a556fb01f3.jpg", "http://cdn.wpsstatic.com/images/full/2256-572a556fb01f3.jpg")</f>
        <v>http://cdn.wpsstatic.com/images/full/2256-572a556fb01f3.jpg</v>
      </c>
      <c r="B344" s="5" t="s">
        <v>344</v>
      </c>
    </row>
    <row r="345" spans="1:2" x14ac:dyDescent="0.2">
      <c r="A345" s="4" t="str">
        <f>HYPERLINK("http://cdn.wpsstatic.com/images/full/2262-572a5551313c5.jpg", "http://cdn.wpsstatic.com/images/full/2262-572a5551313c5.jpg")</f>
        <v>http://cdn.wpsstatic.com/images/full/2262-572a5551313c5.jpg</v>
      </c>
      <c r="B345" s="5" t="s">
        <v>345</v>
      </c>
    </row>
    <row r="346" spans="1:2" x14ac:dyDescent="0.2">
      <c r="A346" s="4" t="str">
        <f>HYPERLINK("http://cdn.wpsstatic.com/images/full/2290-5885c23654782.jpg", "http://cdn.wpsstatic.com/images/full/2290-5885c23654782.jpg")</f>
        <v>http://cdn.wpsstatic.com/images/full/2290-5885c23654782.jpg</v>
      </c>
      <c r="B346" s="5" t="s">
        <v>346</v>
      </c>
    </row>
    <row r="347" spans="1:2" x14ac:dyDescent="0.2">
      <c r="A347" s="4" t="str">
        <f>HYPERLINK("http://cdn.wpsstatic.com/images/full/22d6-5d02987240ee8.jpg", "http://cdn.wpsstatic.com/images/full/22d6-5d02987240ee8.jpg")</f>
        <v>http://cdn.wpsstatic.com/images/full/22d6-5d02987240ee8.jpg</v>
      </c>
      <c r="B347" s="5" t="s">
        <v>347</v>
      </c>
    </row>
    <row r="348" spans="1:2" x14ac:dyDescent="0.2">
      <c r="A348" s="4" t="str">
        <f>HYPERLINK("http://cdn.wpsstatic.com/images/full/2301-572a53559e7d0.jpg", "http://cdn.wpsstatic.com/images/full/2301-572a53559e7d0.jpg")</f>
        <v>http://cdn.wpsstatic.com/images/full/2301-572a53559e7d0.jpg</v>
      </c>
      <c r="B348" s="5" t="s">
        <v>348</v>
      </c>
    </row>
    <row r="349" spans="1:2" x14ac:dyDescent="0.2">
      <c r="A349" s="4" t="str">
        <f>HYPERLINK("http://cdn.wpsstatic.com/images/full/230c-572a556745924.jpg", "http://cdn.wpsstatic.com/images/full/230c-572a556745924.jpg")</f>
        <v>http://cdn.wpsstatic.com/images/full/230c-572a556745924.jpg</v>
      </c>
      <c r="B349" s="5" t="s">
        <v>349</v>
      </c>
    </row>
    <row r="350" spans="1:2" x14ac:dyDescent="0.2">
      <c r="A350" s="4" t="str">
        <f>HYPERLINK("http://cdn.wpsstatic.com/images/full/2326-572a5479ccc8a.jpg", "http://cdn.wpsstatic.com/images/full/2326-572a5479ccc8a.jpg")</f>
        <v>http://cdn.wpsstatic.com/images/full/2326-572a5479ccc8a.jpg</v>
      </c>
      <c r="B350" s="5" t="s">
        <v>350</v>
      </c>
    </row>
    <row r="351" spans="1:2" x14ac:dyDescent="0.2">
      <c r="A351" s="4" t="str">
        <f>HYPERLINK("http://cdn.wpsstatic.com/images/full/2348-572a52b6bd02f.jpg", "http://cdn.wpsstatic.com/images/full/2348-572a52b6bd02f.jpg")</f>
        <v>http://cdn.wpsstatic.com/images/full/2348-572a52b6bd02f.jpg</v>
      </c>
      <c r="B351" s="5" t="s">
        <v>351</v>
      </c>
    </row>
    <row r="352" spans="1:2" x14ac:dyDescent="0.2">
      <c r="A352" s="4" t="str">
        <f>HYPERLINK("http://cdn.wpsstatic.com/images/full/2363-6171d864b44c6.png", "http://cdn.wpsstatic.com/images/full/2363-6171d864b44c6.png")</f>
        <v>http://cdn.wpsstatic.com/images/full/2363-6171d864b44c6.png</v>
      </c>
      <c r="B352" s="5" t="s">
        <v>352</v>
      </c>
    </row>
    <row r="353" spans="1:2" x14ac:dyDescent="0.2">
      <c r="A353" s="4" t="str">
        <f>HYPERLINK("http://cdn.wpsstatic.com/images/full/2367-572a530a0725b.jpg", "http://cdn.wpsstatic.com/images/full/2367-572a530a0725b.jpg")</f>
        <v>http://cdn.wpsstatic.com/images/full/2367-572a530a0725b.jpg</v>
      </c>
      <c r="B353" s="5" t="s">
        <v>353</v>
      </c>
    </row>
    <row r="354" spans="1:2" x14ac:dyDescent="0.2">
      <c r="A354" s="4" t="str">
        <f>HYPERLINK("http://cdn.wpsstatic.com/images/full/239a-572a548243668.jpg", "http://cdn.wpsstatic.com/images/full/239a-572a548243668.jpg")</f>
        <v>http://cdn.wpsstatic.com/images/full/239a-572a548243668.jpg</v>
      </c>
      <c r="B354" s="5" t="s">
        <v>354</v>
      </c>
    </row>
    <row r="355" spans="1:2" x14ac:dyDescent="0.2">
      <c r="A355" s="4" t="str">
        <f>HYPERLINK("http://cdn.wpsstatic.com/images/full/23a2-572a5324668e9.jpg", "http://cdn.wpsstatic.com/images/full/23a2-572a5324668e9.jpg")</f>
        <v>http://cdn.wpsstatic.com/images/full/23a2-572a5324668e9.jpg</v>
      </c>
      <c r="B355" s="5" t="s">
        <v>355</v>
      </c>
    </row>
    <row r="356" spans="1:2" x14ac:dyDescent="0.2">
      <c r="A356" s="4" t="str">
        <f>HYPERLINK("http://cdn.wpsstatic.com/images/full/23bc-5d0298df82753.jpg", "http://cdn.wpsstatic.com/images/full/23bc-5d0298df82753.jpg")</f>
        <v>http://cdn.wpsstatic.com/images/full/23bc-5d0298df82753.jpg</v>
      </c>
      <c r="B356" s="5" t="s">
        <v>356</v>
      </c>
    </row>
    <row r="357" spans="1:2" x14ac:dyDescent="0.2">
      <c r="A357" s="4" t="str">
        <f>HYPERLINK("http://cdn.wpsstatic.com/images/full/23cf-572a53386bb45.jpg", "http://cdn.wpsstatic.com/images/full/23cf-572a53386bb45.jpg")</f>
        <v>http://cdn.wpsstatic.com/images/full/23cf-572a53386bb45.jpg</v>
      </c>
      <c r="B357" s="5" t="s">
        <v>357</v>
      </c>
    </row>
    <row r="358" spans="1:2" x14ac:dyDescent="0.2">
      <c r="A358" s="4" t="str">
        <f>HYPERLINK("http://cdn.wpsstatic.com/images/full/241c-572a53a776ab0.jpg", "http://cdn.wpsstatic.com/images/full/241c-572a53a776ab0.jpg")</f>
        <v>http://cdn.wpsstatic.com/images/full/241c-572a53a776ab0.jpg</v>
      </c>
      <c r="B358" s="5" t="s">
        <v>358</v>
      </c>
    </row>
    <row r="359" spans="1:2" x14ac:dyDescent="0.2">
      <c r="A359" s="4" t="str">
        <f>HYPERLINK("http://cdn.wpsstatic.com/images/full/2433-5f52a6c3be8aa.jpg", "http://cdn.wpsstatic.com/images/full/2433-5f52a6c3be8aa.jpg")</f>
        <v>http://cdn.wpsstatic.com/images/full/2433-5f52a6c3be8aa.jpg</v>
      </c>
      <c r="B359" s="5" t="s">
        <v>359</v>
      </c>
    </row>
    <row r="360" spans="1:2" x14ac:dyDescent="0.2">
      <c r="A360" s="4" t="str">
        <f>HYPERLINK("http://cdn.wpsstatic.com/images/full/2435-5f52985c9ab6d.jpg", "http://cdn.wpsstatic.com/images/full/2435-5f52985c9ab6d.jpg")</f>
        <v>http://cdn.wpsstatic.com/images/full/2435-5f52985c9ab6d.jpg</v>
      </c>
      <c r="B360" s="5" t="s">
        <v>360</v>
      </c>
    </row>
    <row r="361" spans="1:2" x14ac:dyDescent="0.2">
      <c r="A361" s="4" t="str">
        <f>HYPERLINK("http://cdn.wpsstatic.com/images/full/243c-5d0298410573c.jpg", "http://cdn.wpsstatic.com/images/full/243c-5d0298410573c.jpg")</f>
        <v>http://cdn.wpsstatic.com/images/full/243c-5d0298410573c.jpg</v>
      </c>
      <c r="B361" s="5" t="s">
        <v>361</v>
      </c>
    </row>
    <row r="362" spans="1:2" x14ac:dyDescent="0.2">
      <c r="A362" s="4" t="str">
        <f>HYPERLINK("http://cdn.wpsstatic.com/images/full/2449-5f57b155f26a5.jpg", "http://cdn.wpsstatic.com/images/full/2449-5f57b155f26a5.jpg")</f>
        <v>http://cdn.wpsstatic.com/images/full/2449-5f57b155f26a5.jpg</v>
      </c>
      <c r="B362" s="5" t="s">
        <v>362</v>
      </c>
    </row>
    <row r="363" spans="1:2" x14ac:dyDescent="0.2">
      <c r="A363" s="4" t="str">
        <f>HYPERLINK("http://cdn.wpsstatic.com/images/full/244c-63643b2933dcc.png", "http://cdn.wpsstatic.com/images/full/244c-63643b2933dcc.png")</f>
        <v>http://cdn.wpsstatic.com/images/full/244c-63643b2933dcc.png</v>
      </c>
      <c r="B363" s="5" t="s">
        <v>363</v>
      </c>
    </row>
    <row r="364" spans="1:2" x14ac:dyDescent="0.2">
      <c r="A364" s="4" t="str">
        <f>HYPERLINK("http://cdn.wpsstatic.com/images/full/244e-572a7502ce241.jpg", "http://cdn.wpsstatic.com/images/full/244e-572a7502ce241.jpg")</f>
        <v>http://cdn.wpsstatic.com/images/full/244e-572a7502ce241.jpg</v>
      </c>
      <c r="B364" s="5" t="s">
        <v>364</v>
      </c>
    </row>
    <row r="365" spans="1:2" x14ac:dyDescent="0.2">
      <c r="A365" s="4" t="str">
        <f>HYPERLINK("http://cdn.wpsstatic.com/images/full/2457-5d7902a72cb1f.jpg", "http://cdn.wpsstatic.com/images/full/2457-5d7902a72cb1f.jpg")</f>
        <v>http://cdn.wpsstatic.com/images/full/2457-5d7902a72cb1f.jpg</v>
      </c>
      <c r="B365" s="5" t="s">
        <v>365</v>
      </c>
    </row>
    <row r="366" spans="1:2" x14ac:dyDescent="0.2">
      <c r="A366" s="4" t="str">
        <f>HYPERLINK("http://cdn.wpsstatic.com/images/full/2476-572a554d4e075.jpg", "http://cdn.wpsstatic.com/images/full/2476-572a554d4e075.jpg")</f>
        <v>http://cdn.wpsstatic.com/images/full/2476-572a554d4e075.jpg</v>
      </c>
      <c r="B366" s="5" t="s">
        <v>366</v>
      </c>
    </row>
    <row r="367" spans="1:2" x14ac:dyDescent="0.2">
      <c r="A367" s="4" t="str">
        <f>HYPERLINK("http://cdn.wpsstatic.com/images/full/248d-572a555a00c36.jpg", "http://cdn.wpsstatic.com/images/full/248d-572a555a00c36.jpg")</f>
        <v>http://cdn.wpsstatic.com/images/full/248d-572a555a00c36.jpg</v>
      </c>
      <c r="B367" s="5" t="s">
        <v>367</v>
      </c>
    </row>
    <row r="368" spans="1:2" x14ac:dyDescent="0.2">
      <c r="A368" s="4" t="str">
        <f>HYPERLINK("http://cdn.wpsstatic.com/images/full/249b-572a52b9813ff.jpg", "http://cdn.wpsstatic.com/images/full/249b-572a52b9813ff.jpg")</f>
        <v>http://cdn.wpsstatic.com/images/full/249b-572a52b9813ff.jpg</v>
      </c>
      <c r="B368" s="5" t="s">
        <v>368</v>
      </c>
    </row>
    <row r="369" spans="1:2" x14ac:dyDescent="0.2">
      <c r="A369" s="4" t="str">
        <f>HYPERLINK("http://cdn.wpsstatic.com/images/full/249f-572a530541a2d.jpg", "http://cdn.wpsstatic.com/images/full/249f-572a530541a2d.jpg")</f>
        <v>http://cdn.wpsstatic.com/images/full/249f-572a530541a2d.jpg</v>
      </c>
      <c r="B369" s="5" t="s">
        <v>369</v>
      </c>
    </row>
    <row r="370" spans="1:2" x14ac:dyDescent="0.2">
      <c r="A370" s="4" t="str">
        <f>HYPERLINK("http://cdn.wpsstatic.com/images/full/24b7-572a5517e6c0d.jpg", "http://cdn.wpsstatic.com/images/full/24b7-572a5517e6c0d.jpg")</f>
        <v>http://cdn.wpsstatic.com/images/full/24b7-572a5517e6c0d.jpg</v>
      </c>
      <c r="B370" s="5" t="s">
        <v>370</v>
      </c>
    </row>
    <row r="371" spans="1:2" x14ac:dyDescent="0.2">
      <c r="A371" s="4" t="str">
        <f>HYPERLINK("http://cdn.wpsstatic.com/images/full/24de-572a52fb2cdc2.jpg", "http://cdn.wpsstatic.com/images/full/24de-572a52fb2cdc2.jpg")</f>
        <v>http://cdn.wpsstatic.com/images/full/24de-572a52fb2cdc2.jpg</v>
      </c>
      <c r="B371" s="5" t="s">
        <v>371</v>
      </c>
    </row>
    <row r="372" spans="1:2" x14ac:dyDescent="0.2">
      <c r="A372" s="4" t="str">
        <f>HYPERLINK("http://cdn.wpsstatic.com/images/full/2504-572a558a15e5f.jpg", "http://cdn.wpsstatic.com/images/full/2504-572a558a15e5f.jpg")</f>
        <v>http://cdn.wpsstatic.com/images/full/2504-572a558a15e5f.jpg</v>
      </c>
      <c r="B372" s="5" t="s">
        <v>372</v>
      </c>
    </row>
    <row r="373" spans="1:2" x14ac:dyDescent="0.2">
      <c r="A373" s="4" t="str">
        <f>HYPERLINK("http://cdn.wpsstatic.com/images/full/2506-5f578e8c42b3e.jpg", "http://cdn.wpsstatic.com/images/full/2506-5f578e8c42b3e.jpg")</f>
        <v>http://cdn.wpsstatic.com/images/full/2506-5f578e8c42b3e.jpg</v>
      </c>
      <c r="B373" s="5" t="s">
        <v>373</v>
      </c>
    </row>
    <row r="374" spans="1:2" x14ac:dyDescent="0.2">
      <c r="A374" s="4" t="str">
        <f>HYPERLINK("http://cdn.wpsstatic.com/images/full/251d-5e023acb1f01e.jpg", "http://cdn.wpsstatic.com/images/full/251d-5e023acb1f01e.jpg")</f>
        <v>http://cdn.wpsstatic.com/images/full/251d-5e023acb1f01e.jpg</v>
      </c>
      <c r="B374" s="5" t="s">
        <v>374</v>
      </c>
    </row>
    <row r="375" spans="1:2" x14ac:dyDescent="0.2">
      <c r="A375" s="4" t="str">
        <f>HYPERLINK("http://cdn.wpsstatic.com/images/full/2521-572a54780a21c.jpg", "http://cdn.wpsstatic.com/images/full/2521-572a54780a21c.jpg")</f>
        <v>http://cdn.wpsstatic.com/images/full/2521-572a54780a21c.jpg</v>
      </c>
      <c r="B375" s="5" t="s">
        <v>375</v>
      </c>
    </row>
    <row r="376" spans="1:2" x14ac:dyDescent="0.2">
      <c r="A376" s="4" t="str">
        <f>HYPERLINK("http://cdn.wpsstatic.com/images/full/2529-572a54af07233.jpg", "http://cdn.wpsstatic.com/images/full/2529-572a54af07233.jpg")</f>
        <v>http://cdn.wpsstatic.com/images/full/2529-572a54af07233.jpg</v>
      </c>
      <c r="B376" s="5" t="s">
        <v>376</v>
      </c>
    </row>
    <row r="377" spans="1:2" x14ac:dyDescent="0.2">
      <c r="A377" s="4" t="str">
        <f>HYPERLINK("http://cdn.wpsstatic.com/images/full/2592-572a54add7bd5.jpg", "http://cdn.wpsstatic.com/images/full/2592-572a54add7bd5.jpg")</f>
        <v>http://cdn.wpsstatic.com/images/full/2592-572a54add7bd5.jpg</v>
      </c>
      <c r="B377" s="5" t="s">
        <v>377</v>
      </c>
    </row>
    <row r="378" spans="1:2" x14ac:dyDescent="0.2">
      <c r="A378" s="4" t="str">
        <f>HYPERLINK("http://cdn.wpsstatic.com/images/full/25dc-6171d77aaa750.png", "http://cdn.wpsstatic.com/images/full/25dc-6171d77aaa750.png")</f>
        <v>http://cdn.wpsstatic.com/images/full/25dc-6171d77aaa750.png</v>
      </c>
      <c r="B378" s="5" t="s">
        <v>378</v>
      </c>
    </row>
    <row r="379" spans="1:2" x14ac:dyDescent="0.2">
      <c r="A379" s="4" t="str">
        <f>HYPERLINK("http://cdn.wpsstatic.com/images/full/2630-572a52b3486d4.jpg", "http://cdn.wpsstatic.com/images/full/2630-572a52b3486d4.jpg")</f>
        <v>http://cdn.wpsstatic.com/images/full/2630-572a52b3486d4.jpg</v>
      </c>
      <c r="B379" s="5" t="s">
        <v>379</v>
      </c>
    </row>
    <row r="380" spans="1:2" x14ac:dyDescent="0.2">
      <c r="A380" s="4" t="str">
        <f>HYPERLINK("http://cdn.wpsstatic.com/images/full/2669-572a53a3690f9.jpg", "http://cdn.wpsstatic.com/images/full/2669-572a53a3690f9.jpg")</f>
        <v>http://cdn.wpsstatic.com/images/full/2669-572a53a3690f9.jpg</v>
      </c>
      <c r="B380" s="5" t="s">
        <v>380</v>
      </c>
    </row>
    <row r="381" spans="1:2" x14ac:dyDescent="0.2">
      <c r="A381" s="4" t="str">
        <f>HYPERLINK("http://cdn.wpsstatic.com/images/full/2681-572a53b8424a4.jpg", "http://cdn.wpsstatic.com/images/full/2681-572a53b8424a4.jpg")</f>
        <v>http://cdn.wpsstatic.com/images/full/2681-572a53b8424a4.jpg</v>
      </c>
      <c r="B381" s="5" t="s">
        <v>381</v>
      </c>
    </row>
    <row r="382" spans="1:2" x14ac:dyDescent="0.2">
      <c r="A382" s="4" t="str">
        <f>HYPERLINK("http://cdn.wpsstatic.com/images/full/26a6-5ecd3cb7527ff.jpg", "http://cdn.wpsstatic.com/images/full/26a6-5ecd3cb7527ff.jpg")</f>
        <v>http://cdn.wpsstatic.com/images/full/26a6-5ecd3cb7527ff.jpg</v>
      </c>
      <c r="B382" s="5" t="s">
        <v>382</v>
      </c>
    </row>
    <row r="383" spans="1:2" x14ac:dyDescent="0.2">
      <c r="A383" s="4" t="str">
        <f>HYPERLINK("http://cdn.wpsstatic.com/images/full/26b3-572a53afedec1.jpg", "http://cdn.wpsstatic.com/images/full/26b3-572a53afedec1.jpg")</f>
        <v>http://cdn.wpsstatic.com/images/full/26b3-572a53afedec1.jpg</v>
      </c>
      <c r="B383" s="5" t="s">
        <v>383</v>
      </c>
    </row>
    <row r="384" spans="1:2" x14ac:dyDescent="0.2">
      <c r="A384" s="4" t="str">
        <f>HYPERLINK("http://cdn.wpsstatic.com/images/full/26eb-572a541015a65.jpg", "http://cdn.wpsstatic.com/images/full/26eb-572a541015a65.jpg")</f>
        <v>http://cdn.wpsstatic.com/images/full/26eb-572a541015a65.jpg</v>
      </c>
      <c r="B384" s="5" t="s">
        <v>384</v>
      </c>
    </row>
    <row r="385" spans="1:2" x14ac:dyDescent="0.2">
      <c r="A385" s="4" t="str">
        <f>HYPERLINK("http://cdn.wpsstatic.com/images/full/2727-572a529b29c58.jpg", "http://cdn.wpsstatic.com/images/full/2727-572a529b29c58.jpg")</f>
        <v>http://cdn.wpsstatic.com/images/full/2727-572a529b29c58.jpg</v>
      </c>
      <c r="B385" s="5" t="s">
        <v>385</v>
      </c>
    </row>
    <row r="386" spans="1:2" x14ac:dyDescent="0.2">
      <c r="A386" s="4" t="str">
        <f>HYPERLINK("http://cdn.wpsstatic.com/images/full/272e-572a53f15dc48.jpg", "http://cdn.wpsstatic.com/images/full/272e-572a53f15dc48.jpg")</f>
        <v>http://cdn.wpsstatic.com/images/full/272e-572a53f15dc48.jpg</v>
      </c>
      <c r="B386" s="5" t="s">
        <v>386</v>
      </c>
    </row>
    <row r="387" spans="1:2" x14ac:dyDescent="0.2">
      <c r="A387" s="4" t="str">
        <f>HYPERLINK("http://cdn.wpsstatic.com/images/full/2735-572a555b77cc1.jpg", "http://cdn.wpsstatic.com/images/full/2735-572a555b77cc1.jpg")</f>
        <v>http://cdn.wpsstatic.com/images/full/2735-572a555b77cc1.jpg</v>
      </c>
      <c r="B387" s="5" t="s">
        <v>387</v>
      </c>
    </row>
    <row r="388" spans="1:2" x14ac:dyDescent="0.2">
      <c r="A388" s="4" t="str">
        <f>HYPERLINK("http://cdn.wpsstatic.com/images/full/2777-572a53e0295d9.jpg", "http://cdn.wpsstatic.com/images/full/2777-572a53e0295d9.jpg")</f>
        <v>http://cdn.wpsstatic.com/images/full/2777-572a53e0295d9.jpg</v>
      </c>
      <c r="B388" s="5" t="s">
        <v>388</v>
      </c>
    </row>
    <row r="389" spans="1:2" x14ac:dyDescent="0.2">
      <c r="A389" s="4" t="str">
        <f>HYPERLINK("http://cdn.wpsstatic.com/images/full/27b2-572a5415c87d2.jpg", "http://cdn.wpsstatic.com/images/full/27b2-572a5415c87d2.jpg")</f>
        <v>http://cdn.wpsstatic.com/images/full/27b2-572a5415c87d2.jpg</v>
      </c>
      <c r="B389" s="5" t="s">
        <v>389</v>
      </c>
    </row>
    <row r="390" spans="1:2" x14ac:dyDescent="0.2">
      <c r="A390" s="4" t="str">
        <f>HYPERLINK("http://cdn.wpsstatic.com/images/full/27b6-60a6ac63e6bf5.png", "http://cdn.wpsstatic.com/images/full/27b6-60a6ac63e6bf5.png")</f>
        <v>http://cdn.wpsstatic.com/images/full/27b6-60a6ac63e6bf5.png</v>
      </c>
      <c r="B390" s="5" t="s">
        <v>390</v>
      </c>
    </row>
    <row r="391" spans="1:2" x14ac:dyDescent="0.2">
      <c r="A391" s="4" t="str">
        <f>HYPERLINK("http://cdn.wpsstatic.com/images/full/27d4-6041050184e1d.jpg", "http://cdn.wpsstatic.com/images/full/27d4-6041050184e1d.jpg")</f>
        <v>http://cdn.wpsstatic.com/images/full/27d4-6041050184e1d.jpg</v>
      </c>
      <c r="B391" s="5" t="s">
        <v>391</v>
      </c>
    </row>
    <row r="392" spans="1:2" x14ac:dyDescent="0.2">
      <c r="A392" s="4" t="str">
        <f>HYPERLINK("http://cdn.wpsstatic.com/images/full/27ef-5d0291dae24cb.jpg", "http://cdn.wpsstatic.com/images/full/27ef-5d0291dae24cb.jpg")</f>
        <v>http://cdn.wpsstatic.com/images/full/27ef-5d0291dae24cb.jpg</v>
      </c>
      <c r="B392" s="5" t="s">
        <v>392</v>
      </c>
    </row>
    <row r="393" spans="1:2" x14ac:dyDescent="0.2">
      <c r="A393" s="4" t="str">
        <f>HYPERLINK("http://cdn.wpsstatic.com/images/full/27fe-572a5463b2074.jpg", "http://cdn.wpsstatic.com/images/full/27fe-572a5463b2074.jpg")</f>
        <v>http://cdn.wpsstatic.com/images/full/27fe-572a5463b2074.jpg</v>
      </c>
      <c r="B393" s="5" t="s">
        <v>393</v>
      </c>
    </row>
    <row r="394" spans="1:2" x14ac:dyDescent="0.2">
      <c r="A394" s="4" t="str">
        <f>HYPERLINK("http://cdn.wpsstatic.com/images/full/27ff-6040f889e5bfe.jpg", "http://cdn.wpsstatic.com/images/full/27ff-6040f889e5bfe.jpg")</f>
        <v>http://cdn.wpsstatic.com/images/full/27ff-6040f889e5bfe.jpg</v>
      </c>
      <c r="B394" s="5" t="s">
        <v>394</v>
      </c>
    </row>
    <row r="395" spans="1:2" x14ac:dyDescent="0.2">
      <c r="A395" s="4" t="str">
        <f>HYPERLINK("http://cdn.wpsstatic.com/images/full/2803-572a540bf306e.jpg", "http://cdn.wpsstatic.com/images/full/2803-572a540bf306e.jpg")</f>
        <v>http://cdn.wpsstatic.com/images/full/2803-572a540bf306e.jpg</v>
      </c>
      <c r="B395" s="5" t="s">
        <v>395</v>
      </c>
    </row>
    <row r="396" spans="1:2" x14ac:dyDescent="0.2">
      <c r="A396" s="4" t="str">
        <f>HYPERLINK("http://cdn.wpsstatic.com/images/full/283a-572a524c0ee04.jpg", "http://cdn.wpsstatic.com/images/full/283a-572a524c0ee04.jpg")</f>
        <v>http://cdn.wpsstatic.com/images/full/283a-572a524c0ee04.jpg</v>
      </c>
      <c r="B396" s="5" t="s">
        <v>396</v>
      </c>
    </row>
    <row r="397" spans="1:2" x14ac:dyDescent="0.2">
      <c r="A397" s="4" t="str">
        <f>HYPERLINK("http://cdn.wpsstatic.com/images/full/2852-572a55187889d.jpg", "http://cdn.wpsstatic.com/images/full/2852-572a55187889d.jpg")</f>
        <v>http://cdn.wpsstatic.com/images/full/2852-572a55187889d.jpg</v>
      </c>
      <c r="B397" s="5" t="s">
        <v>397</v>
      </c>
    </row>
    <row r="398" spans="1:2" x14ac:dyDescent="0.2">
      <c r="A398" s="4" t="str">
        <f>HYPERLINK("http://cdn.wpsstatic.com/images/full/287a-572a548b2ce55.jpg", "http://cdn.wpsstatic.com/images/full/287a-572a548b2ce55.jpg")</f>
        <v>http://cdn.wpsstatic.com/images/full/287a-572a548b2ce55.jpg</v>
      </c>
      <c r="B398" s="5" t="s">
        <v>398</v>
      </c>
    </row>
    <row r="399" spans="1:2" x14ac:dyDescent="0.2">
      <c r="A399" s="4" t="str">
        <f>HYPERLINK("http://cdn.wpsstatic.com/images/full/28aa-572a545918a2a.jpg", "http://cdn.wpsstatic.com/images/full/28aa-572a545918a2a.jpg")</f>
        <v>http://cdn.wpsstatic.com/images/full/28aa-572a545918a2a.jpg</v>
      </c>
      <c r="B399" s="5" t="s">
        <v>399</v>
      </c>
    </row>
    <row r="400" spans="1:2" x14ac:dyDescent="0.2">
      <c r="A400" s="4" t="str">
        <f>HYPERLINK("http://cdn.wpsstatic.com/images/full/28b0-572a549c3c6c0.jpg", "http://cdn.wpsstatic.com/images/full/28b0-572a549c3c6c0.jpg")</f>
        <v>http://cdn.wpsstatic.com/images/full/28b0-572a549c3c6c0.jpg</v>
      </c>
      <c r="B400" s="5" t="s">
        <v>400</v>
      </c>
    </row>
    <row r="401" spans="1:2" x14ac:dyDescent="0.2">
      <c r="A401" s="4" t="str">
        <f>HYPERLINK("http://cdn.wpsstatic.com/images/full/2905-5f57ae4f0f7e3.jpg", "http://cdn.wpsstatic.com/images/full/2905-5f57ae4f0f7e3.jpg")</f>
        <v>http://cdn.wpsstatic.com/images/full/2905-5f57ae4f0f7e3.jpg</v>
      </c>
      <c r="B401" s="5" t="s">
        <v>401</v>
      </c>
    </row>
    <row r="402" spans="1:2" x14ac:dyDescent="0.2">
      <c r="A402" s="4" t="str">
        <f>HYPERLINK("http://cdn.wpsstatic.com/images/full/2928-572a563d64a76.jpg", "http://cdn.wpsstatic.com/images/full/2928-572a563d64a76.jpg")</f>
        <v>http://cdn.wpsstatic.com/images/full/2928-572a563d64a76.jpg</v>
      </c>
      <c r="B402" s="5" t="s">
        <v>402</v>
      </c>
    </row>
    <row r="403" spans="1:2" x14ac:dyDescent="0.2">
      <c r="A403" s="4" t="str">
        <f>HYPERLINK("http://cdn.wpsstatic.com/images/full/294b-572a5532e24c8.jpg", "http://cdn.wpsstatic.com/images/full/294b-572a5532e24c8.jpg")</f>
        <v>http://cdn.wpsstatic.com/images/full/294b-572a5532e24c8.jpg</v>
      </c>
      <c r="B403" s="5" t="s">
        <v>403</v>
      </c>
    </row>
    <row r="404" spans="1:2" x14ac:dyDescent="0.2">
      <c r="A404" s="4" t="str">
        <f>HYPERLINK("http://cdn.wpsstatic.com/images/full/2964-5d028d899349f.jpg", "http://cdn.wpsstatic.com/images/full/2964-5d028d899349f.jpg")</f>
        <v>http://cdn.wpsstatic.com/images/full/2964-5d028d899349f.jpg</v>
      </c>
      <c r="B404" s="5" t="s">
        <v>404</v>
      </c>
    </row>
    <row r="405" spans="1:2" x14ac:dyDescent="0.2">
      <c r="A405" s="4" t="str">
        <f>HYPERLINK("http://cdn.wpsstatic.com/images/full/298c-5885c28d54bf6.jpg", "http://cdn.wpsstatic.com/images/full/298c-5885c28d54bf6.jpg")</f>
        <v>http://cdn.wpsstatic.com/images/full/298c-5885c28d54bf6.jpg</v>
      </c>
      <c r="B405" s="5" t="s">
        <v>405</v>
      </c>
    </row>
    <row r="406" spans="1:2" x14ac:dyDescent="0.2">
      <c r="A406" s="4" t="str">
        <f>HYPERLINK("http://cdn.wpsstatic.com/images/full/299c-572a5268a0ca6.jpg", "http://cdn.wpsstatic.com/images/full/299c-572a5268a0ca6.jpg")</f>
        <v>http://cdn.wpsstatic.com/images/full/299c-572a5268a0ca6.jpg</v>
      </c>
      <c r="B406" s="5" t="s">
        <v>406</v>
      </c>
    </row>
    <row r="407" spans="1:2" x14ac:dyDescent="0.2">
      <c r="A407" s="4" t="str">
        <f>HYPERLINK("http://cdn.wpsstatic.com/images/full/299e-5885c1d6645c3.jpg", "http://cdn.wpsstatic.com/images/full/299e-5885c1d6645c3.jpg")</f>
        <v>http://cdn.wpsstatic.com/images/full/299e-5885c1d6645c3.jpg</v>
      </c>
      <c r="B407" s="5" t="s">
        <v>407</v>
      </c>
    </row>
    <row r="408" spans="1:2" x14ac:dyDescent="0.2">
      <c r="A408" s="4" t="str">
        <f>HYPERLINK("http://cdn.wpsstatic.com/images/full/29b7-572a5481296ff.jpg", "http://cdn.wpsstatic.com/images/full/29b7-572a5481296ff.jpg")</f>
        <v>http://cdn.wpsstatic.com/images/full/29b7-572a5481296ff.jpg</v>
      </c>
      <c r="B408" s="5" t="s">
        <v>408</v>
      </c>
    </row>
    <row r="409" spans="1:2" x14ac:dyDescent="0.2">
      <c r="A409" s="4" t="str">
        <f>HYPERLINK("http://cdn.wpsstatic.com/images/full/29c8-572a54aea7bb6.jpg", "http://cdn.wpsstatic.com/images/full/29c8-572a54aea7bb6.jpg")</f>
        <v>http://cdn.wpsstatic.com/images/full/29c8-572a54aea7bb6.jpg</v>
      </c>
      <c r="B409" s="5" t="s">
        <v>409</v>
      </c>
    </row>
    <row r="410" spans="1:2" x14ac:dyDescent="0.2">
      <c r="A410" s="4" t="str">
        <f>HYPERLINK("http://cdn.wpsstatic.com/images/full/29f8-572a54660059c.jpg", "http://cdn.wpsstatic.com/images/full/29f8-572a54660059c.jpg")</f>
        <v>http://cdn.wpsstatic.com/images/full/29f8-572a54660059c.jpg</v>
      </c>
      <c r="B410" s="5" t="s">
        <v>410</v>
      </c>
    </row>
    <row r="411" spans="1:2" x14ac:dyDescent="0.2">
      <c r="A411" s="4" t="str">
        <f>HYPERLINK("http://cdn.wpsstatic.com/images/full/2a41-5d02996800a53.jpg", "http://cdn.wpsstatic.com/images/full/2a41-5d02996800a53.jpg")</f>
        <v>http://cdn.wpsstatic.com/images/full/2a41-5d02996800a53.jpg</v>
      </c>
      <c r="B411" s="5" t="s">
        <v>411</v>
      </c>
    </row>
    <row r="412" spans="1:2" x14ac:dyDescent="0.2">
      <c r="A412" s="4" t="str">
        <f>HYPERLINK("http://cdn.wpsstatic.com/images/full/2a48-5f5298af4b594.jpg", "http://cdn.wpsstatic.com/images/full/2a48-5f5298af4b594.jpg")</f>
        <v>http://cdn.wpsstatic.com/images/full/2a48-5f5298af4b594.jpg</v>
      </c>
      <c r="B412" s="5" t="s">
        <v>412</v>
      </c>
    </row>
    <row r="413" spans="1:2" x14ac:dyDescent="0.2">
      <c r="A413" s="4" t="str">
        <f>HYPERLINK("http://cdn.wpsstatic.com/images/full/2aa1-5885c2a0dce19.jpg", "http://cdn.wpsstatic.com/images/full/2aa1-5885c2a0dce19.jpg")</f>
        <v>http://cdn.wpsstatic.com/images/full/2aa1-5885c2a0dce19.jpg</v>
      </c>
      <c r="B413" s="5" t="s">
        <v>413</v>
      </c>
    </row>
    <row r="414" spans="1:2" x14ac:dyDescent="0.2">
      <c r="A414" s="4" t="str">
        <f>HYPERLINK("http://cdn.wpsstatic.com/images/full/2aa4-5f57a38577e79.jpg", "http://cdn.wpsstatic.com/images/full/2aa4-5f57a38577e79.jpg")</f>
        <v>http://cdn.wpsstatic.com/images/full/2aa4-5f57a38577e79.jpg</v>
      </c>
      <c r="B414" s="5" t="s">
        <v>414</v>
      </c>
    </row>
    <row r="415" spans="1:2" x14ac:dyDescent="0.2">
      <c r="A415" s="4" t="str">
        <f>HYPERLINK("http://cdn.wpsstatic.com/images/full/2ab1-572a53f374279.jpg", "http://cdn.wpsstatic.com/images/full/2ab1-572a53f374279.jpg")</f>
        <v>http://cdn.wpsstatic.com/images/full/2ab1-572a53f374279.jpg</v>
      </c>
      <c r="B415" s="5" t="s">
        <v>415</v>
      </c>
    </row>
    <row r="416" spans="1:2" x14ac:dyDescent="0.2">
      <c r="A416" s="4" t="str">
        <f>HYPERLINK("http://cdn.wpsstatic.com/images/full/2ad4-572a5496ee36f.jpg", "http://cdn.wpsstatic.com/images/full/2ad4-572a5496ee36f.jpg")</f>
        <v>http://cdn.wpsstatic.com/images/full/2ad4-572a5496ee36f.jpg</v>
      </c>
      <c r="B416" s="5" t="s">
        <v>416</v>
      </c>
    </row>
    <row r="417" spans="1:2" x14ac:dyDescent="0.2">
      <c r="A417" s="4" t="str">
        <f>HYPERLINK("http://cdn.wpsstatic.com/images/full/2af4-5d029f4e749a5.jpg", "http://cdn.wpsstatic.com/images/full/2af4-5d029f4e749a5.jpg")</f>
        <v>http://cdn.wpsstatic.com/images/full/2af4-5d029f4e749a5.jpg</v>
      </c>
      <c r="B417" s="5" t="s">
        <v>417</v>
      </c>
    </row>
    <row r="418" spans="1:2" x14ac:dyDescent="0.2">
      <c r="A418" s="4" t="str">
        <f>HYPERLINK("http://cdn.wpsstatic.com/images/full/2b07-572a55986d4a2.jpg", "http://cdn.wpsstatic.com/images/full/2b07-572a55986d4a2.jpg")</f>
        <v>http://cdn.wpsstatic.com/images/full/2b07-572a55986d4a2.jpg</v>
      </c>
      <c r="B418" s="5" t="s">
        <v>418</v>
      </c>
    </row>
    <row r="419" spans="1:2" x14ac:dyDescent="0.2">
      <c r="A419" s="4" t="str">
        <f>HYPERLINK("http://cdn.wpsstatic.com/images/full/2b21-572a53d5e06bd.jpg", "http://cdn.wpsstatic.com/images/full/2b21-572a53d5e06bd.jpg")</f>
        <v>http://cdn.wpsstatic.com/images/full/2b21-572a53d5e06bd.jpg</v>
      </c>
      <c r="B419" s="5" t="s">
        <v>419</v>
      </c>
    </row>
    <row r="420" spans="1:2" x14ac:dyDescent="0.2">
      <c r="A420" s="4" t="str">
        <f>HYPERLINK("http://cdn.wpsstatic.com/images/full/2b24-572a546ac7312.jpg", "http://cdn.wpsstatic.com/images/full/2b24-572a546ac7312.jpg")</f>
        <v>http://cdn.wpsstatic.com/images/full/2b24-572a546ac7312.jpg</v>
      </c>
      <c r="B420" s="5" t="s">
        <v>420</v>
      </c>
    </row>
    <row r="421" spans="1:2" x14ac:dyDescent="0.2">
      <c r="A421" s="4" t="str">
        <f>HYPERLINK("http://cdn.wpsstatic.com/images/full/2b2d-572a53625617e.jpg", "http://cdn.wpsstatic.com/images/full/2b2d-572a53625617e.jpg")</f>
        <v>http://cdn.wpsstatic.com/images/full/2b2d-572a53625617e.jpg</v>
      </c>
      <c r="B421" s="5" t="s">
        <v>421</v>
      </c>
    </row>
    <row r="422" spans="1:2" x14ac:dyDescent="0.2">
      <c r="A422" s="4" t="str">
        <f>HYPERLINK("http://cdn.wpsstatic.com/images/full/2b6e-572a5640e38d2.jpg", "http://cdn.wpsstatic.com/images/full/2b6e-572a5640e38d2.jpg")</f>
        <v>http://cdn.wpsstatic.com/images/full/2b6e-572a5640e38d2.jpg</v>
      </c>
      <c r="B422" s="5" t="s">
        <v>422</v>
      </c>
    </row>
    <row r="423" spans="1:2" x14ac:dyDescent="0.2">
      <c r="A423" s="4" t="str">
        <f>HYPERLINK("http://cdn.wpsstatic.com/images/full/2b7d-572a5464a2736.jpg", "http://cdn.wpsstatic.com/images/full/2b7d-572a5464a2736.jpg")</f>
        <v>http://cdn.wpsstatic.com/images/full/2b7d-572a5464a2736.jpg</v>
      </c>
      <c r="B423" s="5" t="s">
        <v>423</v>
      </c>
    </row>
    <row r="424" spans="1:2" x14ac:dyDescent="0.2">
      <c r="A424" s="4" t="str">
        <f>HYPERLINK("http://cdn.wpsstatic.com/images/full/2bc2-572a538eaf833.jpg", "http://cdn.wpsstatic.com/images/full/2bc2-572a538eaf833.jpg")</f>
        <v>http://cdn.wpsstatic.com/images/full/2bc2-572a538eaf833.jpg</v>
      </c>
      <c r="B424" s="5" t="s">
        <v>424</v>
      </c>
    </row>
    <row r="425" spans="1:2" x14ac:dyDescent="0.2">
      <c r="A425" s="4" t="str">
        <f>HYPERLINK("http://cdn.wpsstatic.com/images/full/2bd1-60a6a96ab5804.png", "http://cdn.wpsstatic.com/images/full/2bd1-60a6a96ab5804.png")</f>
        <v>http://cdn.wpsstatic.com/images/full/2bd1-60a6a96ab5804.png</v>
      </c>
      <c r="B425" s="5" t="s">
        <v>425</v>
      </c>
    </row>
    <row r="426" spans="1:2" x14ac:dyDescent="0.2">
      <c r="A426" s="4" t="str">
        <f>HYPERLINK("http://cdn.wpsstatic.com/images/full/2bfb-572a54e48a091.jpg", "http://cdn.wpsstatic.com/images/full/2bfb-572a54e48a091.jpg")</f>
        <v>http://cdn.wpsstatic.com/images/full/2bfb-572a54e48a091.jpg</v>
      </c>
      <c r="B426" s="5" t="s">
        <v>426</v>
      </c>
    </row>
    <row r="427" spans="1:2" x14ac:dyDescent="0.2">
      <c r="A427" s="4" t="str">
        <f>HYPERLINK("http://cdn.wpsstatic.com/images/full/2c42-572a53cfe246a.jpg", "http://cdn.wpsstatic.com/images/full/2c42-572a53cfe246a.jpg")</f>
        <v>http://cdn.wpsstatic.com/images/full/2c42-572a53cfe246a.jpg</v>
      </c>
      <c r="B427" s="5" t="s">
        <v>427</v>
      </c>
    </row>
    <row r="428" spans="1:2" x14ac:dyDescent="0.2">
      <c r="A428" s="4" t="str">
        <f>HYPERLINK("http://cdn.wpsstatic.com/images/full/2c44-5d029afdc5a46.jpg", "http://cdn.wpsstatic.com/images/full/2c44-5d029afdc5a46.jpg")</f>
        <v>http://cdn.wpsstatic.com/images/full/2c44-5d029afdc5a46.jpg</v>
      </c>
      <c r="B428" s="5" t="s">
        <v>428</v>
      </c>
    </row>
    <row r="429" spans="1:2" x14ac:dyDescent="0.2">
      <c r="A429" s="4" t="str">
        <f>HYPERLINK("http://cdn.wpsstatic.com/images/full/2c4d-572a53c1bf1ca.jpg", "http://cdn.wpsstatic.com/images/full/2c4d-572a53c1bf1ca.jpg")</f>
        <v>http://cdn.wpsstatic.com/images/full/2c4d-572a53c1bf1ca.jpg</v>
      </c>
      <c r="B429" s="5" t="s">
        <v>429</v>
      </c>
    </row>
    <row r="430" spans="1:2" x14ac:dyDescent="0.2">
      <c r="A430" s="4" t="str">
        <f>HYPERLINK("http://cdn.wpsstatic.com/images/full/2c60-572a75040ffa2.jpg", "http://cdn.wpsstatic.com/images/full/2c60-572a75040ffa2.jpg")</f>
        <v>http://cdn.wpsstatic.com/images/full/2c60-572a75040ffa2.jpg</v>
      </c>
      <c r="B430" s="5" t="s">
        <v>430</v>
      </c>
    </row>
    <row r="431" spans="1:2" x14ac:dyDescent="0.2">
      <c r="A431" s="4" t="str">
        <f>HYPERLINK("http://cdn.wpsstatic.com/images/full/2c6a-5d029f63d2844.jpg", "http://cdn.wpsstatic.com/images/full/2c6a-5d029f63d2844.jpg")</f>
        <v>http://cdn.wpsstatic.com/images/full/2c6a-5d029f63d2844.jpg</v>
      </c>
      <c r="B431" s="5" t="s">
        <v>431</v>
      </c>
    </row>
    <row r="432" spans="1:2" x14ac:dyDescent="0.2">
      <c r="A432" s="4" t="str">
        <f>HYPERLINK("http://cdn.wpsstatic.com/images/full/2c6f-572a5392eb808.jpg", "http://cdn.wpsstatic.com/images/full/2c6f-572a5392eb808.jpg")</f>
        <v>http://cdn.wpsstatic.com/images/full/2c6f-572a5392eb808.jpg</v>
      </c>
      <c r="B432" s="5" t="s">
        <v>432</v>
      </c>
    </row>
    <row r="433" spans="1:2" x14ac:dyDescent="0.2">
      <c r="A433" s="4" t="str">
        <f>HYPERLINK("http://cdn.wpsstatic.com/images/full/2c93-60abb55081ffd.png", "http://cdn.wpsstatic.com/images/full/2c93-60abb55081ffd.png")</f>
        <v>http://cdn.wpsstatic.com/images/full/2c93-60abb55081ffd.png</v>
      </c>
      <c r="B433" s="5" t="s">
        <v>433</v>
      </c>
    </row>
    <row r="434" spans="1:2" x14ac:dyDescent="0.2">
      <c r="A434" s="4" t="str">
        <f>HYPERLINK("http://cdn.wpsstatic.com/images/full/2cf2-572a5408eef76.jpg", "http://cdn.wpsstatic.com/images/full/2cf2-572a5408eef76.jpg")</f>
        <v>http://cdn.wpsstatic.com/images/full/2cf2-572a5408eef76.jpg</v>
      </c>
      <c r="B434" s="5" t="s">
        <v>434</v>
      </c>
    </row>
    <row r="435" spans="1:2" x14ac:dyDescent="0.2">
      <c r="A435" s="4" t="str">
        <f>HYPERLINK("http://cdn.wpsstatic.com/images/full/2d03-572a562eecb3f.jpg", "http://cdn.wpsstatic.com/images/full/2d03-572a562eecb3f.jpg")</f>
        <v>http://cdn.wpsstatic.com/images/full/2d03-572a562eecb3f.jpg</v>
      </c>
      <c r="B435" s="5" t="s">
        <v>435</v>
      </c>
    </row>
    <row r="436" spans="1:2" x14ac:dyDescent="0.2">
      <c r="A436" s="4" t="str">
        <f>HYPERLINK("http://cdn.wpsstatic.com/images/full/2d27-572a54b92ae60.jpg", "http://cdn.wpsstatic.com/images/full/2d27-572a54b92ae60.jpg")</f>
        <v>http://cdn.wpsstatic.com/images/full/2d27-572a54b92ae60.jpg</v>
      </c>
      <c r="B436" s="5" t="s">
        <v>436</v>
      </c>
    </row>
    <row r="437" spans="1:2" x14ac:dyDescent="0.2">
      <c r="A437" s="4" t="str">
        <f>HYPERLINK("http://cdn.wpsstatic.com/images/full/2d33-572a549192b2d.jpg", "http://cdn.wpsstatic.com/images/full/2d33-572a549192b2d.jpg")</f>
        <v>http://cdn.wpsstatic.com/images/full/2d33-572a549192b2d.jpg</v>
      </c>
      <c r="B437" s="5" t="s">
        <v>437</v>
      </c>
    </row>
    <row r="438" spans="1:2" x14ac:dyDescent="0.2">
      <c r="A438" s="4" t="str">
        <f>HYPERLINK("http://cdn.wpsstatic.com/images/full/2d43-572a5329219c5.jpg", "http://cdn.wpsstatic.com/images/full/2d43-572a5329219c5.jpg")</f>
        <v>http://cdn.wpsstatic.com/images/full/2d43-572a5329219c5.jpg</v>
      </c>
      <c r="B438" s="5" t="s">
        <v>438</v>
      </c>
    </row>
    <row r="439" spans="1:2" x14ac:dyDescent="0.2">
      <c r="A439" s="4" t="str">
        <f>HYPERLINK("http://cdn.wpsstatic.com/images/full/2d43-572a53dee6a0e.jpg", "http://cdn.wpsstatic.com/images/full/2d43-572a53dee6a0e.jpg")</f>
        <v>http://cdn.wpsstatic.com/images/full/2d43-572a53dee6a0e.jpg</v>
      </c>
      <c r="B439" s="5" t="s">
        <v>439</v>
      </c>
    </row>
    <row r="440" spans="1:2" x14ac:dyDescent="0.2">
      <c r="A440" s="4" t="str">
        <f>HYPERLINK("http://cdn.wpsstatic.com/images/full/2d61-572a554eefb5e.jpg", "http://cdn.wpsstatic.com/images/full/2d61-572a554eefb5e.jpg")</f>
        <v>http://cdn.wpsstatic.com/images/full/2d61-572a554eefb5e.jpg</v>
      </c>
      <c r="B440" s="5" t="s">
        <v>440</v>
      </c>
    </row>
    <row r="441" spans="1:2" x14ac:dyDescent="0.2">
      <c r="A441" s="4" t="str">
        <f>HYPERLINK("http://cdn.wpsstatic.com/images/full/2ddd-572a53d3aa5c6.jpg", "http://cdn.wpsstatic.com/images/full/2ddd-572a53d3aa5c6.jpg")</f>
        <v>http://cdn.wpsstatic.com/images/full/2ddd-572a53d3aa5c6.jpg</v>
      </c>
      <c r="B441" s="5" t="s">
        <v>441</v>
      </c>
    </row>
    <row r="442" spans="1:2" x14ac:dyDescent="0.2">
      <c r="A442" s="4" t="str">
        <f>HYPERLINK("http://cdn.wpsstatic.com/images/full/2de2-572a54af87485.jpg", "http://cdn.wpsstatic.com/images/full/2de2-572a54af87485.jpg")</f>
        <v>http://cdn.wpsstatic.com/images/full/2de2-572a54af87485.jpg</v>
      </c>
      <c r="B442" s="5" t="s">
        <v>442</v>
      </c>
    </row>
    <row r="443" spans="1:2" x14ac:dyDescent="0.2">
      <c r="A443" s="4" t="str">
        <f>HYPERLINK("http://cdn.wpsstatic.com/images/full/2e2b-572a54a414b83.jpg", "http://cdn.wpsstatic.com/images/full/2e2b-572a54a414b83.jpg")</f>
        <v>http://cdn.wpsstatic.com/images/full/2e2b-572a54a414b83.jpg</v>
      </c>
      <c r="B443" s="5" t="s">
        <v>443</v>
      </c>
    </row>
    <row r="444" spans="1:2" x14ac:dyDescent="0.2">
      <c r="A444" s="4" t="str">
        <f>HYPERLINK("http://cdn.wpsstatic.com/images/full/2e89-5d029b494ce9e.jpg", "http://cdn.wpsstatic.com/images/full/2e89-5d029b494ce9e.jpg")</f>
        <v>http://cdn.wpsstatic.com/images/full/2e89-5d029b494ce9e.jpg</v>
      </c>
      <c r="B444" s="5" t="s">
        <v>444</v>
      </c>
    </row>
    <row r="445" spans="1:2" x14ac:dyDescent="0.2">
      <c r="A445" s="4" t="str">
        <f>HYPERLINK("http://cdn.wpsstatic.com/images/full/2e97-614c9792c786c.jpg", "http://cdn.wpsstatic.com/images/full/2e97-614c9792c786c.jpg")</f>
        <v>http://cdn.wpsstatic.com/images/full/2e97-614c9792c786c.jpg</v>
      </c>
      <c r="B445" s="5" t="s">
        <v>445</v>
      </c>
    </row>
    <row r="446" spans="1:2" x14ac:dyDescent="0.2">
      <c r="A446" s="4" t="str">
        <f>HYPERLINK("http://cdn.wpsstatic.com/images/full/2ea6-5f57add71e4e2.jpg", "http://cdn.wpsstatic.com/images/full/2ea6-5f57add71e4e2.jpg")</f>
        <v>http://cdn.wpsstatic.com/images/full/2ea6-5f57add71e4e2.jpg</v>
      </c>
      <c r="B446" s="5" t="s">
        <v>446</v>
      </c>
    </row>
    <row r="447" spans="1:2" x14ac:dyDescent="0.2">
      <c r="A447" s="4" t="str">
        <f>HYPERLINK("http://cdn.wpsstatic.com/images/full/2ee3-572a545cd6d6e.jpg", "http://cdn.wpsstatic.com/images/full/2ee3-572a545cd6d6e.jpg")</f>
        <v>http://cdn.wpsstatic.com/images/full/2ee3-572a545cd6d6e.jpg</v>
      </c>
      <c r="B447" s="5" t="s">
        <v>447</v>
      </c>
    </row>
    <row r="448" spans="1:2" x14ac:dyDescent="0.2">
      <c r="A448" s="4" t="str">
        <f>HYPERLINK("http://cdn.wpsstatic.com/images/full/2eeb-572a5544aa2bd.jpg", "http://cdn.wpsstatic.com/images/full/2eeb-572a5544aa2bd.jpg")</f>
        <v>http://cdn.wpsstatic.com/images/full/2eeb-572a5544aa2bd.jpg</v>
      </c>
      <c r="B448" s="5" t="s">
        <v>448</v>
      </c>
    </row>
    <row r="449" spans="1:2" x14ac:dyDescent="0.2">
      <c r="A449" s="4" t="str">
        <f>HYPERLINK("http://cdn.wpsstatic.com/images/full/2f07-5d029790ab5a8.jpg", "http://cdn.wpsstatic.com/images/full/2f07-5d029790ab5a8.jpg")</f>
        <v>http://cdn.wpsstatic.com/images/full/2f07-5d029790ab5a8.jpg</v>
      </c>
      <c r="B449" s="5" t="s">
        <v>449</v>
      </c>
    </row>
    <row r="450" spans="1:2" x14ac:dyDescent="0.2">
      <c r="A450" s="4" t="str">
        <f>HYPERLINK("http://cdn.wpsstatic.com/images/full/2f15-5885c2ec9245b.jpg", "http://cdn.wpsstatic.com/images/full/2f15-5885c2ec9245b.jpg")</f>
        <v>http://cdn.wpsstatic.com/images/full/2f15-5885c2ec9245b.jpg</v>
      </c>
      <c r="B450" s="5" t="s">
        <v>450</v>
      </c>
    </row>
    <row r="451" spans="1:2" x14ac:dyDescent="0.2">
      <c r="A451" s="4" t="str">
        <f>HYPERLINK("http://cdn.wpsstatic.com/images/full/2f15-6064a8fea5440.jpg", "http://cdn.wpsstatic.com/images/full/2f15-6064a8fea5440.jpg")</f>
        <v>http://cdn.wpsstatic.com/images/full/2f15-6064a8fea5440.jpg</v>
      </c>
      <c r="B451" s="5" t="s">
        <v>451</v>
      </c>
    </row>
    <row r="452" spans="1:2" x14ac:dyDescent="0.2">
      <c r="A452" s="4" t="str">
        <f>HYPERLINK("http://cdn.wpsstatic.com/images/full/2f1d-572a54857d287.jpg", "http://cdn.wpsstatic.com/images/full/2f1d-572a54857d287.jpg")</f>
        <v>http://cdn.wpsstatic.com/images/full/2f1d-572a54857d287.jpg</v>
      </c>
      <c r="B452" s="5" t="s">
        <v>452</v>
      </c>
    </row>
    <row r="453" spans="1:2" x14ac:dyDescent="0.2">
      <c r="A453" s="4" t="str">
        <f>HYPERLINK("http://cdn.wpsstatic.com/images/full/2f3d-572a557bb7496.jpg", "http://cdn.wpsstatic.com/images/full/2f3d-572a557bb7496.jpg")</f>
        <v>http://cdn.wpsstatic.com/images/full/2f3d-572a557bb7496.jpg</v>
      </c>
      <c r="B453" s="5" t="s">
        <v>453</v>
      </c>
    </row>
    <row r="454" spans="1:2" x14ac:dyDescent="0.2">
      <c r="A454" s="4" t="str">
        <f>HYPERLINK("http://cdn.wpsstatic.com/images/full/2f47-572a532039bf0.jpg", "http://cdn.wpsstatic.com/images/full/2f47-572a532039bf0.jpg")</f>
        <v>http://cdn.wpsstatic.com/images/full/2f47-572a532039bf0.jpg</v>
      </c>
      <c r="B454" s="5" t="s">
        <v>454</v>
      </c>
    </row>
    <row r="455" spans="1:2" x14ac:dyDescent="0.2">
      <c r="A455" s="4" t="str">
        <f>HYPERLINK("http://cdn.wpsstatic.com/images/full/2f85-572a544a897d5.jpg", "http://cdn.wpsstatic.com/images/full/2f85-572a544a897d5.jpg")</f>
        <v>http://cdn.wpsstatic.com/images/full/2f85-572a544a897d5.jpg</v>
      </c>
      <c r="B455" s="5" t="s">
        <v>455</v>
      </c>
    </row>
    <row r="456" spans="1:2" x14ac:dyDescent="0.2">
      <c r="A456" s="4" t="str">
        <f>HYPERLINK("http://cdn.wpsstatic.com/images/full/2f90-572a5514896b0.jpg", "http://cdn.wpsstatic.com/images/full/2f90-572a5514896b0.jpg")</f>
        <v>http://cdn.wpsstatic.com/images/full/2f90-572a5514896b0.jpg</v>
      </c>
      <c r="B456" s="5" t="s">
        <v>456</v>
      </c>
    </row>
    <row r="457" spans="1:2" x14ac:dyDescent="0.2">
      <c r="A457" s="4" t="str">
        <f>HYPERLINK("http://cdn.wpsstatic.com/images/full/2f9e-5d0296ac336eb.jpg", "http://cdn.wpsstatic.com/images/full/2f9e-5d0296ac336eb.jpg")</f>
        <v>http://cdn.wpsstatic.com/images/full/2f9e-5d0296ac336eb.jpg</v>
      </c>
      <c r="B457" s="5" t="s">
        <v>457</v>
      </c>
    </row>
    <row r="458" spans="1:2" x14ac:dyDescent="0.2">
      <c r="A458" s="4" t="str">
        <f>HYPERLINK("http://cdn.wpsstatic.com/images/full/2fa4-572a532a38eb6.jpg", "http://cdn.wpsstatic.com/images/full/2fa4-572a532a38eb6.jpg")</f>
        <v>http://cdn.wpsstatic.com/images/full/2fa4-572a532a38eb6.jpg</v>
      </c>
      <c r="B458" s="5" t="s">
        <v>458</v>
      </c>
    </row>
    <row r="459" spans="1:2" x14ac:dyDescent="0.2">
      <c r="A459" s="4" t="str">
        <f>HYPERLINK("http://cdn.wpsstatic.com/images/full/2fbe-572a540d5ba8c.jpg", "http://cdn.wpsstatic.com/images/full/2fbe-572a540d5ba8c.jpg")</f>
        <v>http://cdn.wpsstatic.com/images/full/2fbe-572a540d5ba8c.jpg</v>
      </c>
      <c r="B459" s="5" t="s">
        <v>459</v>
      </c>
    </row>
    <row r="460" spans="1:2" x14ac:dyDescent="0.2">
      <c r="A460" s="4" t="str">
        <f>HYPERLINK("http://cdn.wpsstatic.com/images/full/2fc6-572a542397d56.jpg", "http://cdn.wpsstatic.com/images/full/2fc6-572a542397d56.jpg")</f>
        <v>http://cdn.wpsstatic.com/images/full/2fc6-572a542397d56.jpg</v>
      </c>
      <c r="B460" s="5" t="s">
        <v>460</v>
      </c>
    </row>
    <row r="461" spans="1:2" x14ac:dyDescent="0.2">
      <c r="A461" s="4" t="str">
        <f>HYPERLINK("http://cdn.wpsstatic.com/images/full/2fd9-60c11dbad02f4.png", "http://cdn.wpsstatic.com/images/full/2fd9-60c11dbad02f4.png")</f>
        <v>http://cdn.wpsstatic.com/images/full/2fd9-60c11dbad02f4.png</v>
      </c>
      <c r="B461" s="5" t="s">
        <v>461</v>
      </c>
    </row>
    <row r="462" spans="1:2" x14ac:dyDescent="0.2">
      <c r="A462" s="4" t="str">
        <f>HYPERLINK("http://cdn.wpsstatic.com/images/full/2fe7-5cca0a51ee7e4.jpg", "http://cdn.wpsstatic.com/images/full/2fe7-5cca0a51ee7e4.jpg")</f>
        <v>http://cdn.wpsstatic.com/images/full/2fe7-5cca0a51ee7e4.jpg</v>
      </c>
      <c r="B462" s="5" t="s">
        <v>462</v>
      </c>
    </row>
    <row r="463" spans="1:2" x14ac:dyDescent="0.2">
      <c r="A463" s="4" t="str">
        <f>HYPERLINK("http://cdn.wpsstatic.com/images/full/3038-5ccb52469fd31.jpg", "http://cdn.wpsstatic.com/images/full/3038-5ccb52469fd31.jpg")</f>
        <v>http://cdn.wpsstatic.com/images/full/3038-5ccb52469fd31.jpg</v>
      </c>
      <c r="B463" s="5" t="s">
        <v>463</v>
      </c>
    </row>
    <row r="464" spans="1:2" x14ac:dyDescent="0.2">
      <c r="A464" s="4" t="str">
        <f>HYPERLINK("http://cdn.wpsstatic.com/images/full/303b-5d79058b3e5e0.jpg", "http://cdn.wpsstatic.com/images/full/303b-5d79058b3e5e0.jpg")</f>
        <v>http://cdn.wpsstatic.com/images/full/303b-5d79058b3e5e0.jpg</v>
      </c>
      <c r="B464" s="5" t="s">
        <v>464</v>
      </c>
    </row>
    <row r="465" spans="1:2" x14ac:dyDescent="0.2">
      <c r="A465" s="4" t="str">
        <f>HYPERLINK("http://cdn.wpsstatic.com/images/full/306a-5e31b27fe6307.jpg", "http://cdn.wpsstatic.com/images/full/306a-5e31b27fe6307.jpg")</f>
        <v>http://cdn.wpsstatic.com/images/full/306a-5e31b27fe6307.jpg</v>
      </c>
      <c r="B465" s="5" t="s">
        <v>465</v>
      </c>
    </row>
    <row r="466" spans="1:2" x14ac:dyDescent="0.2">
      <c r="A466" s="4" t="str">
        <f>HYPERLINK("http://cdn.wpsstatic.com/images/full/3081-572a53e5b3fb8.jpg", "http://cdn.wpsstatic.com/images/full/3081-572a53e5b3fb8.jpg")</f>
        <v>http://cdn.wpsstatic.com/images/full/3081-572a53e5b3fb8.jpg</v>
      </c>
      <c r="B466" s="5" t="s">
        <v>466</v>
      </c>
    </row>
    <row r="467" spans="1:2" x14ac:dyDescent="0.2">
      <c r="A467" s="4" t="str">
        <f>HYPERLINK("http://cdn.wpsstatic.com/images/full/30ac-572a556a5de6b.jpg", "http://cdn.wpsstatic.com/images/full/30ac-572a556a5de6b.jpg")</f>
        <v>http://cdn.wpsstatic.com/images/full/30ac-572a556a5de6b.jpg</v>
      </c>
      <c r="B467" s="5" t="s">
        <v>467</v>
      </c>
    </row>
    <row r="468" spans="1:2" x14ac:dyDescent="0.2">
      <c r="A468" s="4" t="str">
        <f>HYPERLINK("http://cdn.wpsstatic.com/images/full/30b3-5a26effb795ef.jpg", "http://cdn.wpsstatic.com/images/full/30b3-5a26effb795ef.jpg")</f>
        <v>http://cdn.wpsstatic.com/images/full/30b3-5a26effb795ef.jpg</v>
      </c>
      <c r="B468" s="5" t="s">
        <v>468</v>
      </c>
    </row>
    <row r="469" spans="1:2" x14ac:dyDescent="0.2">
      <c r="A469" s="4" t="str">
        <f>HYPERLINK("http://cdn.wpsstatic.com/images/full/30bd-572a54a5cd48e.jpg", "http://cdn.wpsstatic.com/images/full/30bd-572a54a5cd48e.jpg")</f>
        <v>http://cdn.wpsstatic.com/images/full/30bd-572a54a5cd48e.jpg</v>
      </c>
      <c r="B469" s="5" t="s">
        <v>469</v>
      </c>
    </row>
    <row r="470" spans="1:2" x14ac:dyDescent="0.2">
      <c r="A470" s="4" t="str">
        <f>HYPERLINK("http://cdn.wpsstatic.com/images/full/30dd-572a545b03fad.jpg", "http://cdn.wpsstatic.com/images/full/30dd-572a545b03fad.jpg")</f>
        <v>http://cdn.wpsstatic.com/images/full/30dd-572a545b03fad.jpg</v>
      </c>
      <c r="B470" s="5" t="s">
        <v>470</v>
      </c>
    </row>
    <row r="471" spans="1:2" x14ac:dyDescent="0.2">
      <c r="A471" s="4" t="str">
        <f>HYPERLINK("http://cdn.wpsstatic.com/images/full/30e4-5d02965ee24a3.jpg", "http://cdn.wpsstatic.com/images/full/30e4-5d02965ee24a3.jpg")</f>
        <v>http://cdn.wpsstatic.com/images/full/30e4-5d02965ee24a3.jpg</v>
      </c>
      <c r="B471" s="5" t="s">
        <v>471</v>
      </c>
    </row>
    <row r="472" spans="1:2" x14ac:dyDescent="0.2">
      <c r="A472" s="4" t="str">
        <f>HYPERLINK("http://cdn.wpsstatic.com/images/full/3107-60a6ab171be76.png", "http://cdn.wpsstatic.com/images/full/3107-60a6ab171be76.png")</f>
        <v>http://cdn.wpsstatic.com/images/full/3107-60a6ab171be76.png</v>
      </c>
      <c r="B472" s="5" t="s">
        <v>472</v>
      </c>
    </row>
    <row r="473" spans="1:2" x14ac:dyDescent="0.2">
      <c r="A473" s="4" t="str">
        <f>HYPERLINK("http://cdn.wpsstatic.com/images/full/3116-572a54066cb7c.jpg", "http://cdn.wpsstatic.com/images/full/3116-572a54066cb7c.jpg")</f>
        <v>http://cdn.wpsstatic.com/images/full/3116-572a54066cb7c.jpg</v>
      </c>
      <c r="B473" s="5" t="s">
        <v>473</v>
      </c>
    </row>
    <row r="474" spans="1:2" x14ac:dyDescent="0.2">
      <c r="A474" s="4" t="str">
        <f>HYPERLINK("http://cdn.wpsstatic.com/images/full/315b-572a531f9adbb.jpg", "http://cdn.wpsstatic.com/images/full/315b-572a531f9adbb.jpg")</f>
        <v>http://cdn.wpsstatic.com/images/full/315b-572a531f9adbb.jpg</v>
      </c>
      <c r="B474" s="5" t="s">
        <v>474</v>
      </c>
    </row>
    <row r="475" spans="1:2" x14ac:dyDescent="0.2">
      <c r="A475" s="4" t="str">
        <f>HYPERLINK("http://cdn.wpsstatic.com/images/full/3174-572a53006eb2f.jpg", "http://cdn.wpsstatic.com/images/full/3174-572a53006eb2f.jpg")</f>
        <v>http://cdn.wpsstatic.com/images/full/3174-572a53006eb2f.jpg</v>
      </c>
      <c r="B475" s="5" t="s">
        <v>475</v>
      </c>
    </row>
    <row r="476" spans="1:2" x14ac:dyDescent="0.2">
      <c r="A476" s="4" t="str">
        <f>HYPERLINK("http://cdn.wpsstatic.com/images/full/31da-572a536fe04e9.jpg", "http://cdn.wpsstatic.com/images/full/31da-572a536fe04e9.jpg")</f>
        <v>http://cdn.wpsstatic.com/images/full/31da-572a536fe04e9.jpg</v>
      </c>
      <c r="B476" s="5" t="s">
        <v>476</v>
      </c>
    </row>
    <row r="477" spans="1:2" x14ac:dyDescent="0.2">
      <c r="A477" s="4" t="str">
        <f>HYPERLINK("http://cdn.wpsstatic.com/images/full/31dd-572a530d96db1.jpg", "http://cdn.wpsstatic.com/images/full/31dd-572a530d96db1.jpg")</f>
        <v>http://cdn.wpsstatic.com/images/full/31dd-572a530d96db1.jpg</v>
      </c>
      <c r="B477" s="5" t="s">
        <v>477</v>
      </c>
    </row>
    <row r="478" spans="1:2" x14ac:dyDescent="0.2">
      <c r="A478" s="4" t="str">
        <f>HYPERLINK("http://cdn.wpsstatic.com/images/full/31e8-572a5321f2e30.jpg", "http://cdn.wpsstatic.com/images/full/31e8-572a5321f2e30.jpg")</f>
        <v>http://cdn.wpsstatic.com/images/full/31e8-572a5321f2e30.jpg</v>
      </c>
      <c r="B478" s="5" t="s">
        <v>478</v>
      </c>
    </row>
    <row r="479" spans="1:2" x14ac:dyDescent="0.2">
      <c r="A479" s="4" t="str">
        <f>HYPERLINK("http://cdn.wpsstatic.com/images/full/31ee-572a54f894b42.jpg", "http://cdn.wpsstatic.com/images/full/31ee-572a54f894b42.jpg")</f>
        <v>http://cdn.wpsstatic.com/images/full/31ee-572a54f894b42.jpg</v>
      </c>
      <c r="B479" s="5" t="s">
        <v>479</v>
      </c>
    </row>
    <row r="480" spans="1:2" x14ac:dyDescent="0.2">
      <c r="A480" s="4" t="str">
        <f>HYPERLINK("http://cdn.wpsstatic.com/images/full/31fe-5d029104cc6f1.jpg", "http://cdn.wpsstatic.com/images/full/31fe-5d029104cc6f1.jpg")</f>
        <v>http://cdn.wpsstatic.com/images/full/31fe-5d029104cc6f1.jpg</v>
      </c>
      <c r="B480" s="5" t="s">
        <v>480</v>
      </c>
    </row>
    <row r="481" spans="1:2" x14ac:dyDescent="0.2">
      <c r="A481" s="4" t="str">
        <f>HYPERLINK("http://cdn.wpsstatic.com/images/full/3208-572a54c7c78ac.jpg", "http://cdn.wpsstatic.com/images/full/3208-572a54c7c78ac.jpg")</f>
        <v>http://cdn.wpsstatic.com/images/full/3208-572a54c7c78ac.jpg</v>
      </c>
      <c r="B481" s="5" t="s">
        <v>481</v>
      </c>
    </row>
    <row r="482" spans="1:2" x14ac:dyDescent="0.2">
      <c r="A482" s="4" t="str">
        <f>HYPERLINK("http://cdn.wpsstatic.com/images/full/3265-572a558eefb4e.jpg", "http://cdn.wpsstatic.com/images/full/3265-572a558eefb4e.jpg")</f>
        <v>http://cdn.wpsstatic.com/images/full/3265-572a558eefb4e.jpg</v>
      </c>
      <c r="B482" s="5" t="s">
        <v>482</v>
      </c>
    </row>
    <row r="483" spans="1:2" x14ac:dyDescent="0.2">
      <c r="A483" s="4" t="str">
        <f>HYPERLINK("http://cdn.wpsstatic.com/images/full/3269-5d029ad9c3135.jpg", "http://cdn.wpsstatic.com/images/full/3269-5d029ad9c3135.jpg")</f>
        <v>http://cdn.wpsstatic.com/images/full/3269-5d029ad9c3135.jpg</v>
      </c>
      <c r="B483" s="5" t="s">
        <v>483</v>
      </c>
    </row>
    <row r="484" spans="1:2" x14ac:dyDescent="0.2">
      <c r="A484" s="4" t="str">
        <f>HYPERLINK("http://cdn.wpsstatic.com/images/full/3279-5d028d1ed4370.jpg", "http://cdn.wpsstatic.com/images/full/3279-5d028d1ed4370.jpg")</f>
        <v>http://cdn.wpsstatic.com/images/full/3279-5d028d1ed4370.jpg</v>
      </c>
      <c r="B484" s="5" t="s">
        <v>484</v>
      </c>
    </row>
    <row r="485" spans="1:2" x14ac:dyDescent="0.2">
      <c r="A485" s="4" t="str">
        <f>HYPERLINK("http://cdn.wpsstatic.com/images/full/327d-572a54809cec8.jpg", "http://cdn.wpsstatic.com/images/full/327d-572a54809cec8.jpg")</f>
        <v>http://cdn.wpsstatic.com/images/full/327d-572a54809cec8.jpg</v>
      </c>
      <c r="B485" s="5" t="s">
        <v>485</v>
      </c>
    </row>
    <row r="486" spans="1:2" x14ac:dyDescent="0.2">
      <c r="A486" s="4" t="str">
        <f>HYPERLINK("http://cdn.wpsstatic.com/images/full/3285-572a543fdbddc.jpg", "http://cdn.wpsstatic.com/images/full/3285-572a543fdbddc.jpg")</f>
        <v>http://cdn.wpsstatic.com/images/full/3285-572a543fdbddc.jpg</v>
      </c>
      <c r="B486" s="5" t="s">
        <v>486</v>
      </c>
    </row>
    <row r="487" spans="1:2" x14ac:dyDescent="0.2">
      <c r="A487" s="4" t="str">
        <f>HYPERLINK("http://cdn.wpsstatic.com/images/full/329c-572a538c77dcf.jpg", "http://cdn.wpsstatic.com/images/full/329c-572a538c77dcf.jpg")</f>
        <v>http://cdn.wpsstatic.com/images/full/329c-572a538c77dcf.jpg</v>
      </c>
      <c r="B487" s="5" t="s">
        <v>487</v>
      </c>
    </row>
    <row r="488" spans="1:2" x14ac:dyDescent="0.2">
      <c r="A488" s="4" t="str">
        <f>HYPERLINK("http://cdn.wpsstatic.com/images/full/32af-572a554cb65df.jpg", "http://cdn.wpsstatic.com/images/full/32af-572a554cb65df.jpg")</f>
        <v>http://cdn.wpsstatic.com/images/full/32af-572a554cb65df.jpg</v>
      </c>
      <c r="B488" s="5" t="s">
        <v>488</v>
      </c>
    </row>
    <row r="489" spans="1:2" x14ac:dyDescent="0.2">
      <c r="A489" s="4" t="str">
        <f>HYPERLINK("http://cdn.wpsstatic.com/images/full/32b7-572a54a831f0a.jpg", "http://cdn.wpsstatic.com/images/full/32b7-572a54a831f0a.jpg")</f>
        <v>http://cdn.wpsstatic.com/images/full/32b7-572a54a831f0a.jpg</v>
      </c>
      <c r="B489" s="5" t="s">
        <v>489</v>
      </c>
    </row>
    <row r="490" spans="1:2" x14ac:dyDescent="0.2">
      <c r="A490" s="4" t="str">
        <f>HYPERLINK("http://cdn.wpsstatic.com/images/full/32d2-5885c22c4859b.jpg", "http://cdn.wpsstatic.com/images/full/32d2-5885c22c4859b.jpg")</f>
        <v>http://cdn.wpsstatic.com/images/full/32d2-5885c22c4859b.jpg</v>
      </c>
      <c r="B490" s="5" t="s">
        <v>490</v>
      </c>
    </row>
    <row r="491" spans="1:2" x14ac:dyDescent="0.2">
      <c r="A491" s="4" t="str">
        <f>HYPERLINK("http://cdn.wpsstatic.com/images/full/3305-572a54e6edebf.jpg", "http://cdn.wpsstatic.com/images/full/3305-572a54e6edebf.jpg")</f>
        <v>http://cdn.wpsstatic.com/images/full/3305-572a54e6edebf.jpg</v>
      </c>
      <c r="B491" s="5" t="s">
        <v>491</v>
      </c>
    </row>
    <row r="492" spans="1:2" x14ac:dyDescent="0.2">
      <c r="A492" s="4" t="str">
        <f>HYPERLINK("http://cdn.wpsstatic.com/images/full/3322-572a56227e089.jpg", "http://cdn.wpsstatic.com/images/full/3322-572a56227e089.jpg")</f>
        <v>http://cdn.wpsstatic.com/images/full/3322-572a56227e089.jpg</v>
      </c>
      <c r="B492" s="5" t="s">
        <v>492</v>
      </c>
    </row>
    <row r="493" spans="1:2" x14ac:dyDescent="0.2">
      <c r="A493" s="4" t="str">
        <f>HYPERLINK("http://cdn.wpsstatic.com/images/full/334e-5f529a6bc4395.jpg", "http://cdn.wpsstatic.com/images/full/334e-5f529a6bc4395.jpg")</f>
        <v>http://cdn.wpsstatic.com/images/full/334e-5f529a6bc4395.jpg</v>
      </c>
      <c r="B493" s="5" t="s">
        <v>493</v>
      </c>
    </row>
    <row r="494" spans="1:2" x14ac:dyDescent="0.2">
      <c r="A494" s="4" t="str">
        <f>HYPERLINK("http://cdn.wpsstatic.com/images/full/3388-572a54c69a50a.jpg", "http://cdn.wpsstatic.com/images/full/3388-572a54c69a50a.jpg")</f>
        <v>http://cdn.wpsstatic.com/images/full/3388-572a54c69a50a.jpg</v>
      </c>
      <c r="B494" s="5" t="s">
        <v>494</v>
      </c>
    </row>
    <row r="495" spans="1:2" x14ac:dyDescent="0.2">
      <c r="A495" s="4" t="str">
        <f>HYPERLINK("http://cdn.wpsstatic.com/images/full/339c-572a5380b8582.jpg", "http://cdn.wpsstatic.com/images/full/339c-572a5380b8582.jpg")</f>
        <v>http://cdn.wpsstatic.com/images/full/339c-572a5380b8582.jpg</v>
      </c>
      <c r="B495" s="5" t="s">
        <v>495</v>
      </c>
    </row>
    <row r="496" spans="1:2" x14ac:dyDescent="0.2">
      <c r="A496" s="4" t="str">
        <f>HYPERLINK("http://cdn.wpsstatic.com/images/full/339f-6064a8fe5916d.jpg", "http://cdn.wpsstatic.com/images/full/339f-6064a8fe5916d.jpg")</f>
        <v>http://cdn.wpsstatic.com/images/full/339f-6064a8fe5916d.jpg</v>
      </c>
      <c r="B496" s="5" t="s">
        <v>496</v>
      </c>
    </row>
    <row r="497" spans="1:2" x14ac:dyDescent="0.2">
      <c r="A497" s="4" t="str">
        <f>HYPERLINK("http://cdn.wpsstatic.com/images/full/33d3-5f57944d5c9f9.jpg", "http://cdn.wpsstatic.com/images/full/33d3-5f57944d5c9f9.jpg")</f>
        <v>http://cdn.wpsstatic.com/images/full/33d3-5f57944d5c9f9.jpg</v>
      </c>
      <c r="B497" s="5" t="s">
        <v>497</v>
      </c>
    </row>
    <row r="498" spans="1:2" x14ac:dyDescent="0.2">
      <c r="A498" s="4" t="str">
        <f>HYPERLINK("http://cdn.wpsstatic.com/images/full/33ef-5d0294a2efdc3.jpg", "http://cdn.wpsstatic.com/images/full/33ef-5d0294a2efdc3.jpg")</f>
        <v>http://cdn.wpsstatic.com/images/full/33ef-5d0294a2efdc3.jpg</v>
      </c>
      <c r="B498" s="5" t="s">
        <v>498</v>
      </c>
    </row>
    <row r="499" spans="1:2" x14ac:dyDescent="0.2">
      <c r="A499" s="4" t="str">
        <f>HYPERLINK("http://cdn.wpsstatic.com/images/full/33ff-5ecd3d3d08193.jpg", "http://cdn.wpsstatic.com/images/full/33ff-5ecd3d3d08193.jpg")</f>
        <v>http://cdn.wpsstatic.com/images/full/33ff-5ecd3d3d08193.jpg</v>
      </c>
      <c r="B499" s="5" t="s">
        <v>499</v>
      </c>
    </row>
    <row r="500" spans="1:2" x14ac:dyDescent="0.2">
      <c r="A500" s="4" t="str">
        <f>HYPERLINK("http://cdn.wpsstatic.com/images/full/342e-572a559b262af.jpg", "http://cdn.wpsstatic.com/images/full/342e-572a559b262af.jpg")</f>
        <v>http://cdn.wpsstatic.com/images/full/342e-572a559b262af.jpg</v>
      </c>
      <c r="B500" s="5" t="s">
        <v>500</v>
      </c>
    </row>
    <row r="501" spans="1:2" x14ac:dyDescent="0.2">
      <c r="A501" s="4" t="str">
        <f>HYPERLINK("http://cdn.wpsstatic.com/images/full/3434-572a5259a6979.jpg", "http://cdn.wpsstatic.com/images/full/3434-572a5259a6979.jpg")</f>
        <v>http://cdn.wpsstatic.com/images/full/3434-572a5259a6979.jpg</v>
      </c>
      <c r="B501" s="5" t="s">
        <v>501</v>
      </c>
    </row>
    <row r="502" spans="1:2" x14ac:dyDescent="0.2">
      <c r="A502" s="4" t="str">
        <f>HYPERLINK("http://cdn.wpsstatic.com/images/full/343b-6171d7af721b2.png", "http://cdn.wpsstatic.com/images/full/343b-6171d7af721b2.png")</f>
        <v>http://cdn.wpsstatic.com/images/full/343b-6171d7af721b2.png</v>
      </c>
      <c r="B502" s="5" t="s">
        <v>502</v>
      </c>
    </row>
    <row r="503" spans="1:2" x14ac:dyDescent="0.2">
      <c r="A503" s="4" t="str">
        <f>HYPERLINK("http://cdn.wpsstatic.com/images/full/343c-572a527bc1b29.jpg", "http://cdn.wpsstatic.com/images/full/343c-572a527bc1b29.jpg")</f>
        <v>http://cdn.wpsstatic.com/images/full/343c-572a527bc1b29.jpg</v>
      </c>
      <c r="B503" s="5" t="s">
        <v>503</v>
      </c>
    </row>
    <row r="504" spans="1:2" x14ac:dyDescent="0.2">
      <c r="A504" s="4" t="str">
        <f>HYPERLINK("http://cdn.wpsstatic.com/images/full/34c1-5d028e3668289.jpg", "http://cdn.wpsstatic.com/images/full/34c1-5d028e3668289.jpg")</f>
        <v>http://cdn.wpsstatic.com/images/full/34c1-5d028e3668289.jpg</v>
      </c>
      <c r="B504" s="5" t="s">
        <v>504</v>
      </c>
    </row>
    <row r="505" spans="1:2" x14ac:dyDescent="0.2">
      <c r="A505" s="4" t="str">
        <f>HYPERLINK("http://cdn.wpsstatic.com/images/full/34cf-572a547ad3702.jpg", "http://cdn.wpsstatic.com/images/full/34cf-572a547ad3702.jpg")</f>
        <v>http://cdn.wpsstatic.com/images/full/34cf-572a547ad3702.jpg</v>
      </c>
      <c r="B505" s="5" t="s">
        <v>505</v>
      </c>
    </row>
    <row r="506" spans="1:2" x14ac:dyDescent="0.2">
      <c r="A506" s="4" t="str">
        <f>HYPERLINK("http://cdn.wpsstatic.com/images/full/34dd-572a53ac7864c.jpg", "http://cdn.wpsstatic.com/images/full/34dd-572a53ac7864c.jpg")</f>
        <v>http://cdn.wpsstatic.com/images/full/34dd-572a53ac7864c.jpg</v>
      </c>
      <c r="B506" s="5" t="s">
        <v>506</v>
      </c>
    </row>
    <row r="507" spans="1:2" x14ac:dyDescent="0.2">
      <c r="A507" s="4" t="str">
        <f>HYPERLINK("http://cdn.wpsstatic.com/images/full/34f2-572a554e6cea7.jpg", "http://cdn.wpsstatic.com/images/full/34f2-572a554e6cea7.jpg")</f>
        <v>http://cdn.wpsstatic.com/images/full/34f2-572a554e6cea7.jpg</v>
      </c>
      <c r="B507" s="5" t="s">
        <v>507</v>
      </c>
    </row>
    <row r="508" spans="1:2" x14ac:dyDescent="0.2">
      <c r="A508" s="4" t="str">
        <f>HYPERLINK("http://cdn.wpsstatic.com/images/full/34f6-572a53017b536.jpg", "http://cdn.wpsstatic.com/images/full/34f6-572a53017b536.jpg")</f>
        <v>http://cdn.wpsstatic.com/images/full/34f6-572a53017b536.jpg</v>
      </c>
      <c r="B508" s="5" t="s">
        <v>508</v>
      </c>
    </row>
    <row r="509" spans="1:2" x14ac:dyDescent="0.2">
      <c r="A509" s="4" t="str">
        <f>HYPERLINK("http://cdn.wpsstatic.com/images/full/3536-572a5274133a8.jpg", "http://cdn.wpsstatic.com/images/full/3536-572a5274133a8.jpg")</f>
        <v>http://cdn.wpsstatic.com/images/full/3536-572a5274133a8.jpg</v>
      </c>
      <c r="B509" s="5" t="s">
        <v>509</v>
      </c>
    </row>
    <row r="510" spans="1:2" x14ac:dyDescent="0.2">
      <c r="A510" s="4" t="str">
        <f>HYPERLINK("http://cdn.wpsstatic.com/images/full/355e-572a55aea5314.jpg", "http://cdn.wpsstatic.com/images/full/355e-572a55aea5314.jpg")</f>
        <v>http://cdn.wpsstatic.com/images/full/355e-572a55aea5314.jpg</v>
      </c>
      <c r="B510" s="5" t="s">
        <v>510</v>
      </c>
    </row>
    <row r="511" spans="1:2" x14ac:dyDescent="0.2">
      <c r="A511" s="4" t="str">
        <f>HYPERLINK("http://cdn.wpsstatic.com/images/full/355e-5951648ae5968.jpg", "http://cdn.wpsstatic.com/images/full/355e-5951648ae5968.jpg")</f>
        <v>http://cdn.wpsstatic.com/images/full/355e-5951648ae5968.jpg</v>
      </c>
      <c r="B511" s="5" t="s">
        <v>511</v>
      </c>
    </row>
    <row r="512" spans="1:2" x14ac:dyDescent="0.2">
      <c r="A512" s="4" t="str">
        <f>HYPERLINK("http://cdn.wpsstatic.com/images/full/358c-572a5274a142b.jpg", "http://cdn.wpsstatic.com/images/full/358c-572a5274a142b.jpg")</f>
        <v>http://cdn.wpsstatic.com/images/full/358c-572a5274a142b.jpg</v>
      </c>
      <c r="B512" s="5" t="s">
        <v>512</v>
      </c>
    </row>
    <row r="513" spans="1:2" x14ac:dyDescent="0.2">
      <c r="A513" s="4" t="str">
        <f>HYPERLINK("http://cdn.wpsstatic.com/images/full/3595-572a55a7d9524.jpg", "http://cdn.wpsstatic.com/images/full/3595-572a55a7d9524.jpg")</f>
        <v>http://cdn.wpsstatic.com/images/full/3595-572a55a7d9524.jpg</v>
      </c>
      <c r="B513" s="5" t="s">
        <v>513</v>
      </c>
    </row>
    <row r="514" spans="1:2" x14ac:dyDescent="0.2">
      <c r="A514" s="4" t="str">
        <f>HYPERLINK("http://cdn.wpsstatic.com/images/full/35db-60bfdc96e3a40.png", "http://cdn.wpsstatic.com/images/full/35db-60bfdc96e3a40.png")</f>
        <v>http://cdn.wpsstatic.com/images/full/35db-60bfdc96e3a40.png</v>
      </c>
      <c r="B514" s="5" t="s">
        <v>514</v>
      </c>
    </row>
    <row r="515" spans="1:2" x14ac:dyDescent="0.2">
      <c r="A515" s="4" t="str">
        <f>HYPERLINK("http://cdn.wpsstatic.com/images/full/3618-572a5456e5088.jpg", "http://cdn.wpsstatic.com/images/full/3618-572a5456e5088.jpg")</f>
        <v>http://cdn.wpsstatic.com/images/full/3618-572a5456e5088.jpg</v>
      </c>
      <c r="B515" s="5" t="s">
        <v>515</v>
      </c>
    </row>
    <row r="516" spans="1:2" x14ac:dyDescent="0.2">
      <c r="A516" s="4" t="str">
        <f>HYPERLINK("http://cdn.wpsstatic.com/images/full/3624-572a54e8522c9.jpg", "http://cdn.wpsstatic.com/images/full/3624-572a54e8522c9.jpg")</f>
        <v>http://cdn.wpsstatic.com/images/full/3624-572a54e8522c9.jpg</v>
      </c>
      <c r="B516" s="5" t="s">
        <v>516</v>
      </c>
    </row>
    <row r="517" spans="1:2" x14ac:dyDescent="0.2">
      <c r="A517" s="4" t="str">
        <f>HYPERLINK("http://cdn.wpsstatic.com/images/full/3641-572a550e0ad64.jpg", "http://cdn.wpsstatic.com/images/full/3641-572a550e0ad64.jpg")</f>
        <v>http://cdn.wpsstatic.com/images/full/3641-572a550e0ad64.jpg</v>
      </c>
      <c r="B517" s="5" t="s">
        <v>517</v>
      </c>
    </row>
    <row r="518" spans="1:2" x14ac:dyDescent="0.2">
      <c r="A518" s="4" t="str">
        <f>HYPERLINK("http://cdn.wpsstatic.com/images/full/3673-572a56285a186.jpg", "http://cdn.wpsstatic.com/images/full/3673-572a56285a186.jpg")</f>
        <v>http://cdn.wpsstatic.com/images/full/3673-572a56285a186.jpg</v>
      </c>
      <c r="B518" s="5" t="s">
        <v>518</v>
      </c>
    </row>
    <row r="519" spans="1:2" x14ac:dyDescent="0.2">
      <c r="A519" s="4" t="str">
        <f>HYPERLINK("http://cdn.wpsstatic.com/images/full/367a-572a5644e148a.jpg", "http://cdn.wpsstatic.com/images/full/367a-572a5644e148a.jpg")</f>
        <v>http://cdn.wpsstatic.com/images/full/367a-572a5644e148a.jpg</v>
      </c>
      <c r="B519" s="5" t="s">
        <v>519</v>
      </c>
    </row>
    <row r="520" spans="1:2" x14ac:dyDescent="0.2">
      <c r="A520" s="4" t="str">
        <f>HYPERLINK("http://cdn.wpsstatic.com/images/full/36b8-572a5368d07d5.jpg", "http://cdn.wpsstatic.com/images/full/36b8-572a5368d07d5.jpg")</f>
        <v>http://cdn.wpsstatic.com/images/full/36b8-572a5368d07d5.jpg</v>
      </c>
      <c r="B520" s="5" t="s">
        <v>520</v>
      </c>
    </row>
    <row r="521" spans="1:2" x14ac:dyDescent="0.2">
      <c r="A521" s="4" t="str">
        <f>HYPERLINK("http://cdn.wpsstatic.com/images/full/36da-572a5436d5aa4.jpg", "http://cdn.wpsstatic.com/images/full/36da-572a5436d5aa4.jpg")</f>
        <v>http://cdn.wpsstatic.com/images/full/36da-572a5436d5aa4.jpg</v>
      </c>
      <c r="B521" s="5" t="s">
        <v>521</v>
      </c>
    </row>
    <row r="522" spans="1:2" x14ac:dyDescent="0.2">
      <c r="A522" s="4" t="str">
        <f>HYPERLINK("http://cdn.wpsstatic.com/images/full/36fb-5885c254356a4.jpg", "http://cdn.wpsstatic.com/images/full/36fb-5885c254356a4.jpg")</f>
        <v>http://cdn.wpsstatic.com/images/full/36fb-5885c254356a4.jpg</v>
      </c>
      <c r="B522" s="5" t="s">
        <v>522</v>
      </c>
    </row>
    <row r="523" spans="1:2" x14ac:dyDescent="0.2">
      <c r="A523" s="4" t="str">
        <f>HYPERLINK("http://cdn.wpsstatic.com/images/full/370e-5d0297cb26d92.jpg", "http://cdn.wpsstatic.com/images/full/370e-5d0297cb26d92.jpg")</f>
        <v>http://cdn.wpsstatic.com/images/full/370e-5d0297cb26d92.jpg</v>
      </c>
      <c r="B523" s="5" t="s">
        <v>523</v>
      </c>
    </row>
    <row r="524" spans="1:2" x14ac:dyDescent="0.2">
      <c r="A524" s="4" t="str">
        <f>HYPERLINK("http://cdn.wpsstatic.com/images/full/372e-572a53fb044e8.jpg", "http://cdn.wpsstatic.com/images/full/372e-572a53fb044e8.jpg")</f>
        <v>http://cdn.wpsstatic.com/images/full/372e-572a53fb044e8.jpg</v>
      </c>
      <c r="B524" s="5" t="s">
        <v>524</v>
      </c>
    </row>
    <row r="525" spans="1:2" x14ac:dyDescent="0.2">
      <c r="A525" s="4" t="str">
        <f>HYPERLINK("http://cdn.wpsstatic.com/images/full/3736-572a5585cd631.jpg", "http://cdn.wpsstatic.com/images/full/3736-572a5585cd631.jpg")</f>
        <v>http://cdn.wpsstatic.com/images/full/3736-572a5585cd631.jpg</v>
      </c>
      <c r="B525" s="5" t="s">
        <v>525</v>
      </c>
    </row>
    <row r="526" spans="1:2" x14ac:dyDescent="0.2">
      <c r="A526" s="4" t="str">
        <f>HYPERLINK("http://cdn.wpsstatic.com/images/full/3743-572a536875186.jpg", "http://cdn.wpsstatic.com/images/full/3743-572a536875186.jpg")</f>
        <v>http://cdn.wpsstatic.com/images/full/3743-572a536875186.jpg</v>
      </c>
      <c r="B526" s="5" t="s">
        <v>526</v>
      </c>
    </row>
    <row r="527" spans="1:2" x14ac:dyDescent="0.2">
      <c r="A527" s="4" t="str">
        <f>HYPERLINK("http://cdn.wpsstatic.com/images/full/377f-572a559db1cb9.jpg", "http://cdn.wpsstatic.com/images/full/377f-572a559db1cb9.jpg")</f>
        <v>http://cdn.wpsstatic.com/images/full/377f-572a559db1cb9.jpg</v>
      </c>
      <c r="B527" s="5" t="s">
        <v>527</v>
      </c>
    </row>
    <row r="528" spans="1:2" x14ac:dyDescent="0.2">
      <c r="A528" s="4" t="str">
        <f>HYPERLINK("http://cdn.wpsstatic.com/images/full/37a5-572a53f02e34a.jpg", "http://cdn.wpsstatic.com/images/full/37a5-572a53f02e34a.jpg")</f>
        <v>http://cdn.wpsstatic.com/images/full/37a5-572a53f02e34a.jpg</v>
      </c>
      <c r="B528" s="5" t="s">
        <v>528</v>
      </c>
    </row>
    <row r="529" spans="1:2" x14ac:dyDescent="0.2">
      <c r="A529" s="4" t="str">
        <f>HYPERLINK("http://cdn.wpsstatic.com/images/full/37e4-572a55a43a0ff.jpg", "http://cdn.wpsstatic.com/images/full/37e4-572a55a43a0ff.jpg")</f>
        <v>http://cdn.wpsstatic.com/images/full/37e4-572a55a43a0ff.jpg</v>
      </c>
      <c r="B529" s="5" t="s">
        <v>529</v>
      </c>
    </row>
    <row r="530" spans="1:2" x14ac:dyDescent="0.2">
      <c r="A530" s="4" t="str">
        <f>HYPERLINK("http://cdn.wpsstatic.com/images/full/37fb-6171d75df2e6f.png", "http://cdn.wpsstatic.com/images/full/37fb-6171d75df2e6f.png")</f>
        <v>http://cdn.wpsstatic.com/images/full/37fb-6171d75df2e6f.png</v>
      </c>
      <c r="B530" s="5" t="s">
        <v>530</v>
      </c>
    </row>
    <row r="531" spans="1:2" x14ac:dyDescent="0.2">
      <c r="A531" s="4" t="str">
        <f>HYPERLINK("http://cdn.wpsstatic.com/images/full/3801-611433ea8f14b.jpeg", "http://cdn.wpsstatic.com/images/full/3801-611433ea8f14b.jpeg")</f>
        <v>http://cdn.wpsstatic.com/images/full/3801-611433ea8f14b.jpeg</v>
      </c>
      <c r="B531" s="5" t="s">
        <v>531</v>
      </c>
    </row>
    <row r="532" spans="1:2" x14ac:dyDescent="0.2">
      <c r="A532" s="4" t="str">
        <f>HYPERLINK("http://cdn.wpsstatic.com/images/full/382d-572a53720e8bb.jpg", "http://cdn.wpsstatic.com/images/full/382d-572a53720e8bb.jpg")</f>
        <v>http://cdn.wpsstatic.com/images/full/382d-572a53720e8bb.jpg</v>
      </c>
      <c r="B532" s="5" t="s">
        <v>532</v>
      </c>
    </row>
    <row r="533" spans="1:2" x14ac:dyDescent="0.2">
      <c r="A533" s="4" t="str">
        <f>HYPERLINK("http://cdn.wpsstatic.com/images/full/3842-572a53dbe1645.jpg", "http://cdn.wpsstatic.com/images/full/3842-572a53dbe1645.jpg")</f>
        <v>http://cdn.wpsstatic.com/images/full/3842-572a53dbe1645.jpg</v>
      </c>
      <c r="B533" s="5" t="s">
        <v>533</v>
      </c>
    </row>
    <row r="534" spans="1:2" x14ac:dyDescent="0.2">
      <c r="A534" s="4" t="str">
        <f>HYPERLINK("http://cdn.wpsstatic.com/images/full/386b-572a5524134fa.jpg", "http://cdn.wpsstatic.com/images/full/386b-572a5524134fa.jpg")</f>
        <v>http://cdn.wpsstatic.com/images/full/386b-572a5524134fa.jpg</v>
      </c>
      <c r="B534" s="5" t="s">
        <v>534</v>
      </c>
    </row>
    <row r="535" spans="1:2" x14ac:dyDescent="0.2">
      <c r="A535" s="4" t="str">
        <f>HYPERLINK("http://cdn.wpsstatic.com/images/full/38a5-5d028c6d59e53.jpg", "http://cdn.wpsstatic.com/images/full/38a5-5d028c6d59e53.jpg")</f>
        <v>http://cdn.wpsstatic.com/images/full/38a5-5d028c6d59e53.jpg</v>
      </c>
      <c r="B535" s="5" t="s">
        <v>535</v>
      </c>
    </row>
    <row r="536" spans="1:2" x14ac:dyDescent="0.2">
      <c r="A536" s="4" t="str">
        <f>HYPERLINK("http://cdn.wpsstatic.com/images/full/38cb-572a526312371.jpg", "http://cdn.wpsstatic.com/images/full/38cb-572a526312371.jpg")</f>
        <v>http://cdn.wpsstatic.com/images/full/38cb-572a526312371.jpg</v>
      </c>
      <c r="B536" s="5" t="s">
        <v>536</v>
      </c>
    </row>
    <row r="537" spans="1:2" x14ac:dyDescent="0.2">
      <c r="A537" s="4" t="str">
        <f>HYPERLINK("http://cdn.wpsstatic.com/images/full/3905-572a53714a102.jpg", "http://cdn.wpsstatic.com/images/full/3905-572a53714a102.jpg")</f>
        <v>http://cdn.wpsstatic.com/images/full/3905-572a53714a102.jpg</v>
      </c>
      <c r="B537" s="5" t="s">
        <v>537</v>
      </c>
    </row>
    <row r="538" spans="1:2" x14ac:dyDescent="0.2">
      <c r="A538" s="4" t="str">
        <f>HYPERLINK("http://cdn.wpsstatic.com/images/full/3976-572a53ced4c1f.jpg", "http://cdn.wpsstatic.com/images/full/3976-572a53ced4c1f.jpg")</f>
        <v>http://cdn.wpsstatic.com/images/full/3976-572a53ced4c1f.jpg</v>
      </c>
      <c r="B538" s="5" t="s">
        <v>538</v>
      </c>
    </row>
    <row r="539" spans="1:2" x14ac:dyDescent="0.2">
      <c r="A539" s="4" t="str">
        <f>HYPERLINK("http://cdn.wpsstatic.com/images/full/3979-572a541f78f42.jpg", "http://cdn.wpsstatic.com/images/full/3979-572a541f78f42.jpg")</f>
        <v>http://cdn.wpsstatic.com/images/full/3979-572a541f78f42.jpg</v>
      </c>
      <c r="B539" s="5" t="s">
        <v>539</v>
      </c>
    </row>
    <row r="540" spans="1:2" x14ac:dyDescent="0.2">
      <c r="A540" s="4" t="str">
        <f>HYPERLINK("http://cdn.wpsstatic.com/images/full/3980-5d0298b56feb2.jpg", "http://cdn.wpsstatic.com/images/full/3980-5d0298b56feb2.jpg")</f>
        <v>http://cdn.wpsstatic.com/images/full/3980-5d0298b56feb2.jpg</v>
      </c>
      <c r="B540" s="5" t="s">
        <v>540</v>
      </c>
    </row>
    <row r="541" spans="1:2" x14ac:dyDescent="0.2">
      <c r="A541" s="4" t="str">
        <f>HYPERLINK("http://cdn.wpsstatic.com/images/full/39ab-63643b28e88a5.png", "http://cdn.wpsstatic.com/images/full/39ab-63643b28e88a5.png")</f>
        <v>http://cdn.wpsstatic.com/images/full/39ab-63643b28e88a5.png</v>
      </c>
      <c r="B541" s="5" t="s">
        <v>541</v>
      </c>
    </row>
    <row r="542" spans="1:2" x14ac:dyDescent="0.2">
      <c r="A542" s="4" t="str">
        <f>HYPERLINK("http://cdn.wpsstatic.com/images/full/39ad-5d029c5c75135.jpg", "http://cdn.wpsstatic.com/images/full/39ad-5d029c5c75135.jpg")</f>
        <v>http://cdn.wpsstatic.com/images/full/39ad-5d029c5c75135.jpg</v>
      </c>
      <c r="B542" s="5" t="s">
        <v>542</v>
      </c>
    </row>
    <row r="543" spans="1:2" x14ac:dyDescent="0.2">
      <c r="A543" s="4" t="str">
        <f>HYPERLINK("http://cdn.wpsstatic.com/images/full/39fa-572a54d08c776.jpg", "http://cdn.wpsstatic.com/images/full/39fa-572a54d08c776.jpg")</f>
        <v>http://cdn.wpsstatic.com/images/full/39fa-572a54d08c776.jpg</v>
      </c>
      <c r="B543" s="5" t="s">
        <v>543</v>
      </c>
    </row>
    <row r="544" spans="1:2" x14ac:dyDescent="0.2">
      <c r="A544" s="4" t="str">
        <f>HYPERLINK("http://cdn.wpsstatic.com/images/full/3a30-572a53d328e1b.jpg", "http://cdn.wpsstatic.com/images/full/3a30-572a53d328e1b.jpg")</f>
        <v>http://cdn.wpsstatic.com/images/full/3a30-572a53d328e1b.jpg</v>
      </c>
      <c r="B544" s="5" t="s">
        <v>544</v>
      </c>
    </row>
    <row r="545" spans="1:2" x14ac:dyDescent="0.2">
      <c r="A545" s="4" t="str">
        <f>HYPERLINK("http://cdn.wpsstatic.com/images/full/3a30-5885c1ed3a5f7.jpg", "http://cdn.wpsstatic.com/images/full/3a30-5885c1ed3a5f7.jpg")</f>
        <v>http://cdn.wpsstatic.com/images/full/3a30-5885c1ed3a5f7.jpg</v>
      </c>
      <c r="B545" s="5" t="s">
        <v>545</v>
      </c>
    </row>
    <row r="546" spans="1:2" x14ac:dyDescent="0.2">
      <c r="A546" s="4" t="str">
        <f>HYPERLINK("http://cdn.wpsstatic.com/images/full/3a39-572a5276aa785.jpg", "http://cdn.wpsstatic.com/images/full/3a39-572a5276aa785.jpg")</f>
        <v>http://cdn.wpsstatic.com/images/full/3a39-572a5276aa785.jpg</v>
      </c>
      <c r="B546" s="5" t="s">
        <v>546</v>
      </c>
    </row>
    <row r="547" spans="1:2" x14ac:dyDescent="0.2">
      <c r="A547" s="4" t="str">
        <f>HYPERLINK("http://cdn.wpsstatic.com/images/full/3a52-572a55190541f.jpg", "http://cdn.wpsstatic.com/images/full/3a52-572a55190541f.jpg")</f>
        <v>http://cdn.wpsstatic.com/images/full/3a52-572a55190541f.jpg</v>
      </c>
      <c r="B547" s="5" t="s">
        <v>547</v>
      </c>
    </row>
    <row r="548" spans="1:2" x14ac:dyDescent="0.2">
      <c r="A548" s="4" t="str">
        <f>HYPERLINK("http://cdn.wpsstatic.com/images/full/3a58-5f5298f77c10d.jpg", "http://cdn.wpsstatic.com/images/full/3a58-5f5298f77c10d.jpg")</f>
        <v>http://cdn.wpsstatic.com/images/full/3a58-5f5298f77c10d.jpg</v>
      </c>
      <c r="B548" s="5" t="s">
        <v>548</v>
      </c>
    </row>
    <row r="549" spans="1:2" x14ac:dyDescent="0.2">
      <c r="A549" s="4" t="str">
        <f>HYPERLINK("http://cdn.wpsstatic.com/images/full/3a5f-572a534be678b.jpg", "http://cdn.wpsstatic.com/images/full/3a5f-572a534be678b.jpg")</f>
        <v>http://cdn.wpsstatic.com/images/full/3a5f-572a534be678b.jpg</v>
      </c>
      <c r="B549" s="5" t="s">
        <v>549</v>
      </c>
    </row>
    <row r="550" spans="1:2" x14ac:dyDescent="0.2">
      <c r="A550" s="4" t="str">
        <f>HYPERLINK("http://cdn.wpsstatic.com/images/full/3a6b-572a5627cd551.jpg", "http://cdn.wpsstatic.com/images/full/3a6b-572a5627cd551.jpg")</f>
        <v>http://cdn.wpsstatic.com/images/full/3a6b-572a5627cd551.jpg</v>
      </c>
      <c r="B550" s="5" t="s">
        <v>550</v>
      </c>
    </row>
    <row r="551" spans="1:2" x14ac:dyDescent="0.2">
      <c r="A551" s="4" t="str">
        <f>HYPERLINK("http://cdn.wpsstatic.com/images/full/3a70-572a5460a6f91.jpg", "http://cdn.wpsstatic.com/images/full/3a70-572a5460a6f91.jpg")</f>
        <v>http://cdn.wpsstatic.com/images/full/3a70-572a5460a6f91.jpg</v>
      </c>
      <c r="B551" s="5" t="s">
        <v>551</v>
      </c>
    </row>
    <row r="552" spans="1:2" x14ac:dyDescent="0.2">
      <c r="A552" s="4" t="str">
        <f>HYPERLINK("http://cdn.wpsstatic.com/images/full/3a8b-572a5431ca1af.jpg", "http://cdn.wpsstatic.com/images/full/3a8b-572a5431ca1af.jpg")</f>
        <v>http://cdn.wpsstatic.com/images/full/3a8b-572a5431ca1af.jpg</v>
      </c>
      <c r="B552" s="5" t="s">
        <v>552</v>
      </c>
    </row>
    <row r="553" spans="1:2" x14ac:dyDescent="0.2">
      <c r="A553" s="4" t="str">
        <f>HYPERLINK("http://cdn.wpsstatic.com/images/full/3adf-572a540a76e6c.jpg", "http://cdn.wpsstatic.com/images/full/3adf-572a540a76e6c.jpg")</f>
        <v>http://cdn.wpsstatic.com/images/full/3adf-572a540a76e6c.jpg</v>
      </c>
      <c r="B553" s="5" t="s">
        <v>553</v>
      </c>
    </row>
    <row r="554" spans="1:2" x14ac:dyDescent="0.2">
      <c r="A554" s="4" t="str">
        <f>HYPERLINK("http://cdn.wpsstatic.com/images/full/3ae6-572a74f84a00e.jpg", "http://cdn.wpsstatic.com/images/full/3ae6-572a74f84a00e.jpg")</f>
        <v>http://cdn.wpsstatic.com/images/full/3ae6-572a74f84a00e.jpg</v>
      </c>
      <c r="B554" s="5" t="s">
        <v>554</v>
      </c>
    </row>
    <row r="555" spans="1:2" x14ac:dyDescent="0.2">
      <c r="A555" s="4" t="str">
        <f>HYPERLINK("http://cdn.wpsstatic.com/images/full/3af2-6040f85316339.jpg", "http://cdn.wpsstatic.com/images/full/3af2-6040f85316339.jpg")</f>
        <v>http://cdn.wpsstatic.com/images/full/3af2-6040f85316339.jpg</v>
      </c>
      <c r="B555" s="5" t="s">
        <v>555</v>
      </c>
    </row>
    <row r="556" spans="1:2" x14ac:dyDescent="0.2">
      <c r="A556" s="4" t="str">
        <f>HYPERLINK("http://cdn.wpsstatic.com/images/full/3b62-5d028e7f017c8.jpg", "http://cdn.wpsstatic.com/images/full/3b62-5d028e7f017c8.jpg")</f>
        <v>http://cdn.wpsstatic.com/images/full/3b62-5d028e7f017c8.jpg</v>
      </c>
      <c r="B556" s="5" t="s">
        <v>556</v>
      </c>
    </row>
    <row r="557" spans="1:2" x14ac:dyDescent="0.2">
      <c r="A557" s="4" t="str">
        <f>HYPERLINK("http://cdn.wpsstatic.com/images/full/3bb9-572a5381327a3.jpg", "http://cdn.wpsstatic.com/images/full/3bb9-572a5381327a3.jpg")</f>
        <v>http://cdn.wpsstatic.com/images/full/3bb9-572a5381327a3.jpg</v>
      </c>
      <c r="B557" s="5" t="s">
        <v>557</v>
      </c>
    </row>
    <row r="558" spans="1:2" x14ac:dyDescent="0.2">
      <c r="A558" s="4" t="str">
        <f>HYPERLINK("http://cdn.wpsstatic.com/images/full/3bbb-572a5304a45d3.jpg", "http://cdn.wpsstatic.com/images/full/3bbb-572a5304a45d3.jpg")</f>
        <v>http://cdn.wpsstatic.com/images/full/3bbb-572a5304a45d3.jpg</v>
      </c>
      <c r="B558" s="5" t="s">
        <v>558</v>
      </c>
    </row>
    <row r="559" spans="1:2" x14ac:dyDescent="0.2">
      <c r="A559" s="4" t="str">
        <f>HYPERLINK("http://cdn.wpsstatic.com/images/full/3bf6-5d029c419e275.jpg", "http://cdn.wpsstatic.com/images/full/3bf6-5d029c419e275.jpg")</f>
        <v>http://cdn.wpsstatic.com/images/full/3bf6-5d029c419e275.jpg</v>
      </c>
      <c r="B559" s="5" t="s">
        <v>559</v>
      </c>
    </row>
    <row r="560" spans="1:2" x14ac:dyDescent="0.2">
      <c r="A560" s="4" t="str">
        <f>HYPERLINK("http://cdn.wpsstatic.com/images/full/3bf9-5d1684588c592.jpg", "http://cdn.wpsstatic.com/images/full/3bf9-5d1684588c592.jpg")</f>
        <v>http://cdn.wpsstatic.com/images/full/3bf9-5d1684588c592.jpg</v>
      </c>
      <c r="B560" s="5" t="s">
        <v>560</v>
      </c>
    </row>
    <row r="561" spans="1:2" x14ac:dyDescent="0.2">
      <c r="A561" s="4" t="str">
        <f>HYPERLINK("http://cdn.wpsstatic.com/images/full/3c01-5885c25677448.jpg", "http://cdn.wpsstatic.com/images/full/3c01-5885c25677448.jpg")</f>
        <v>http://cdn.wpsstatic.com/images/full/3c01-5885c25677448.jpg</v>
      </c>
      <c r="B561" s="5" t="s">
        <v>561</v>
      </c>
    </row>
    <row r="562" spans="1:2" x14ac:dyDescent="0.2">
      <c r="A562" s="4" t="str">
        <f>HYPERLINK("http://cdn.wpsstatic.com/images/full/3c10-572a525ada101.jpg", "http://cdn.wpsstatic.com/images/full/3c10-572a525ada101.jpg")</f>
        <v>http://cdn.wpsstatic.com/images/full/3c10-572a525ada101.jpg</v>
      </c>
      <c r="B562" s="5" t="s">
        <v>562</v>
      </c>
    </row>
    <row r="563" spans="1:2" x14ac:dyDescent="0.2">
      <c r="A563" s="4" t="str">
        <f>HYPERLINK("http://cdn.wpsstatic.com/images/full/3c33-5d0298330a447.jpg", "http://cdn.wpsstatic.com/images/full/3c33-5d0298330a447.jpg")</f>
        <v>http://cdn.wpsstatic.com/images/full/3c33-5d0298330a447.jpg</v>
      </c>
      <c r="B563" s="5" t="s">
        <v>563</v>
      </c>
    </row>
    <row r="564" spans="1:2" x14ac:dyDescent="0.2">
      <c r="A564" s="4" t="str">
        <f>HYPERLINK("http://cdn.wpsstatic.com/images/full/3c3d-572a559f4f92d.jpg", "http://cdn.wpsstatic.com/images/full/3c3d-572a559f4f92d.jpg")</f>
        <v>http://cdn.wpsstatic.com/images/full/3c3d-572a559f4f92d.jpg</v>
      </c>
      <c r="B564" s="5" t="s">
        <v>564</v>
      </c>
    </row>
    <row r="565" spans="1:2" x14ac:dyDescent="0.2">
      <c r="A565" s="4" t="str">
        <f>HYPERLINK("http://cdn.wpsstatic.com/images/full/3c55-603e923e75f9d.jpg", "http://cdn.wpsstatic.com/images/full/3c55-603e923e75f9d.jpg")</f>
        <v>http://cdn.wpsstatic.com/images/full/3c55-603e923e75f9d.jpg</v>
      </c>
      <c r="B565" s="5" t="s">
        <v>565</v>
      </c>
    </row>
    <row r="566" spans="1:2" x14ac:dyDescent="0.2">
      <c r="A566" s="4" t="str">
        <f>HYPERLINK("http://cdn.wpsstatic.com/images/full/3c59-572a535c0452c.jpg", "http://cdn.wpsstatic.com/images/full/3c59-572a535c0452c.jpg")</f>
        <v>http://cdn.wpsstatic.com/images/full/3c59-572a535c0452c.jpg</v>
      </c>
      <c r="B566" s="5" t="s">
        <v>566</v>
      </c>
    </row>
    <row r="567" spans="1:2" x14ac:dyDescent="0.2">
      <c r="A567" s="4" t="str">
        <f>HYPERLINK("http://cdn.wpsstatic.com/images/full/3c5b-5fb45267f3818.jpg", "http://cdn.wpsstatic.com/images/full/3c5b-5fb45267f3818.jpg")</f>
        <v>http://cdn.wpsstatic.com/images/full/3c5b-5fb45267f3818.jpg</v>
      </c>
      <c r="B567" s="5" t="s">
        <v>567</v>
      </c>
    </row>
    <row r="568" spans="1:2" x14ac:dyDescent="0.2">
      <c r="A568" s="4" t="str">
        <f>HYPERLINK("http://cdn.wpsstatic.com/images/full/3c72-572a536be213a.jpg", "http://cdn.wpsstatic.com/images/full/3c72-572a536be213a.jpg")</f>
        <v>http://cdn.wpsstatic.com/images/full/3c72-572a536be213a.jpg</v>
      </c>
      <c r="B568" s="5" t="s">
        <v>568</v>
      </c>
    </row>
    <row r="569" spans="1:2" x14ac:dyDescent="0.2">
      <c r="A569" s="4" t="str">
        <f>HYPERLINK("http://cdn.wpsstatic.com/images/full/3c7f-572a528221e68.jpg", "http://cdn.wpsstatic.com/images/full/3c7f-572a528221e68.jpg")</f>
        <v>http://cdn.wpsstatic.com/images/full/3c7f-572a528221e68.jpg</v>
      </c>
      <c r="B569" s="5" t="s">
        <v>569</v>
      </c>
    </row>
    <row r="570" spans="1:2" x14ac:dyDescent="0.2">
      <c r="A570" s="4" t="str">
        <f>HYPERLINK("http://cdn.wpsstatic.com/images/full/3c88-572a52842ea36.jpg", "http://cdn.wpsstatic.com/images/full/3c88-572a52842ea36.jpg")</f>
        <v>http://cdn.wpsstatic.com/images/full/3c88-572a52842ea36.jpg</v>
      </c>
      <c r="B570" s="5" t="s">
        <v>570</v>
      </c>
    </row>
    <row r="571" spans="1:2" x14ac:dyDescent="0.2">
      <c r="A571" s="4" t="str">
        <f>HYPERLINK("http://cdn.wpsstatic.com/images/full/3c8b-572a526dde13b.jpg", "http://cdn.wpsstatic.com/images/full/3c8b-572a526dde13b.jpg")</f>
        <v>http://cdn.wpsstatic.com/images/full/3c8b-572a526dde13b.jpg</v>
      </c>
      <c r="B571" s="5" t="s">
        <v>571</v>
      </c>
    </row>
    <row r="572" spans="1:2" x14ac:dyDescent="0.2">
      <c r="A572" s="4" t="str">
        <f>HYPERLINK("http://cdn.wpsstatic.com/images/full/3cd4-572a559169bba.jpg", "http://cdn.wpsstatic.com/images/full/3cd4-572a559169bba.jpg")</f>
        <v>http://cdn.wpsstatic.com/images/full/3cd4-572a559169bba.jpg</v>
      </c>
      <c r="B572" s="5" t="s">
        <v>572</v>
      </c>
    </row>
    <row r="573" spans="1:2" x14ac:dyDescent="0.2">
      <c r="A573" s="4" t="str">
        <f>HYPERLINK("http://cdn.wpsstatic.com/images/full/3ce8-572a535e79b89.jpg", "http://cdn.wpsstatic.com/images/full/3ce8-572a535e79b89.jpg")</f>
        <v>http://cdn.wpsstatic.com/images/full/3ce8-572a535e79b89.jpg</v>
      </c>
      <c r="B573" s="5" t="s">
        <v>573</v>
      </c>
    </row>
    <row r="574" spans="1:2" x14ac:dyDescent="0.2">
      <c r="A574" s="4" t="str">
        <f>HYPERLINK("http://cdn.wpsstatic.com/images/full/3cf3-572a5470b5920.jpg", "http://cdn.wpsstatic.com/images/full/3cf3-572a5470b5920.jpg")</f>
        <v>http://cdn.wpsstatic.com/images/full/3cf3-572a5470b5920.jpg</v>
      </c>
      <c r="B574" s="5" t="s">
        <v>574</v>
      </c>
    </row>
    <row r="575" spans="1:2" x14ac:dyDescent="0.2">
      <c r="A575" s="4" t="str">
        <f>HYPERLINK("http://cdn.wpsstatic.com/images/full/3d05-572a550cba632.jpg", "http://cdn.wpsstatic.com/images/full/3d05-572a550cba632.jpg")</f>
        <v>http://cdn.wpsstatic.com/images/full/3d05-572a550cba632.jpg</v>
      </c>
      <c r="B575" s="5" t="s">
        <v>575</v>
      </c>
    </row>
    <row r="576" spans="1:2" x14ac:dyDescent="0.2">
      <c r="A576" s="4" t="str">
        <f>HYPERLINK("http://cdn.wpsstatic.com/images/full/3d20-572a531352705.jpg", "http://cdn.wpsstatic.com/images/full/3d20-572a531352705.jpg")</f>
        <v>http://cdn.wpsstatic.com/images/full/3d20-572a531352705.jpg</v>
      </c>
      <c r="B576" s="5" t="s">
        <v>576</v>
      </c>
    </row>
    <row r="577" spans="1:2" x14ac:dyDescent="0.2">
      <c r="A577" s="4" t="str">
        <f>HYPERLINK("http://cdn.wpsstatic.com/images/full/3d37-572a55610ac31.jpg", "http://cdn.wpsstatic.com/images/full/3d37-572a55610ac31.jpg")</f>
        <v>http://cdn.wpsstatic.com/images/full/3d37-572a55610ac31.jpg</v>
      </c>
      <c r="B577" s="5" t="s">
        <v>577</v>
      </c>
    </row>
    <row r="578" spans="1:2" x14ac:dyDescent="0.2">
      <c r="A578" s="4" t="str">
        <f>HYPERLINK("http://cdn.wpsstatic.com/images/full/3d50-572a52c57084e.jpg", "http://cdn.wpsstatic.com/images/full/3d50-572a52c57084e.jpg")</f>
        <v>http://cdn.wpsstatic.com/images/full/3d50-572a52c57084e.jpg</v>
      </c>
      <c r="B578" s="5" t="s">
        <v>578</v>
      </c>
    </row>
    <row r="579" spans="1:2" x14ac:dyDescent="0.2">
      <c r="A579" s="4" t="str">
        <f>HYPERLINK("http://cdn.wpsstatic.com/images/full/3d52-5d0299eb1e567.jpg", "http://cdn.wpsstatic.com/images/full/3d52-5d0299eb1e567.jpg")</f>
        <v>http://cdn.wpsstatic.com/images/full/3d52-5d0299eb1e567.jpg</v>
      </c>
      <c r="B579" s="5" t="s">
        <v>579</v>
      </c>
    </row>
    <row r="580" spans="1:2" x14ac:dyDescent="0.2">
      <c r="A580" s="4" t="str">
        <f>HYPERLINK("http://cdn.wpsstatic.com/images/full/3d8d-572a53eaf19e0.jpg", "http://cdn.wpsstatic.com/images/full/3d8d-572a53eaf19e0.jpg")</f>
        <v>http://cdn.wpsstatic.com/images/full/3d8d-572a53eaf19e0.jpg</v>
      </c>
      <c r="B580" s="5" t="s">
        <v>580</v>
      </c>
    </row>
    <row r="581" spans="1:2" x14ac:dyDescent="0.2">
      <c r="A581" s="4" t="str">
        <f>HYPERLINK("http://cdn.wpsstatic.com/images/full/3d92-600eda21551d8.jpg", "http://cdn.wpsstatic.com/images/full/3d92-600eda21551d8.jpg")</f>
        <v>http://cdn.wpsstatic.com/images/full/3d92-600eda21551d8.jpg</v>
      </c>
      <c r="B581" s="5" t="s">
        <v>581</v>
      </c>
    </row>
    <row r="582" spans="1:2" x14ac:dyDescent="0.2">
      <c r="A582" s="4" t="str">
        <f>HYPERLINK("http://cdn.wpsstatic.com/images/full/3dc6-572a5554277b5.jpg", "http://cdn.wpsstatic.com/images/full/3dc6-572a5554277b5.jpg")</f>
        <v>http://cdn.wpsstatic.com/images/full/3dc6-572a5554277b5.jpg</v>
      </c>
      <c r="B582" s="5" t="s">
        <v>582</v>
      </c>
    </row>
    <row r="583" spans="1:2" x14ac:dyDescent="0.2">
      <c r="A583" s="4" t="str">
        <f>HYPERLINK("http://cdn.wpsstatic.com/images/full/3df0-572a539f3d68b.jpg", "http://cdn.wpsstatic.com/images/full/3df0-572a539f3d68b.jpg")</f>
        <v>http://cdn.wpsstatic.com/images/full/3df0-572a539f3d68b.jpg</v>
      </c>
      <c r="B583" s="5" t="s">
        <v>583</v>
      </c>
    </row>
    <row r="584" spans="1:2" x14ac:dyDescent="0.2">
      <c r="A584" s="4" t="str">
        <f>HYPERLINK("http://cdn.wpsstatic.com/images/full/3e06-572a5393b6a24.jpg", "http://cdn.wpsstatic.com/images/full/3e06-572a5393b6a24.jpg")</f>
        <v>http://cdn.wpsstatic.com/images/full/3e06-572a5393b6a24.jpg</v>
      </c>
      <c r="B584" s="5" t="s">
        <v>584</v>
      </c>
    </row>
    <row r="585" spans="1:2" x14ac:dyDescent="0.2">
      <c r="A585" s="4" t="str">
        <f>HYPERLINK("http://cdn.wpsstatic.com/images/full/3e1a-5d029ecd150da.jpg", "http://cdn.wpsstatic.com/images/full/3e1a-5d029ecd150da.jpg")</f>
        <v>http://cdn.wpsstatic.com/images/full/3e1a-5d029ecd150da.jpg</v>
      </c>
      <c r="B585" s="5" t="s">
        <v>585</v>
      </c>
    </row>
    <row r="586" spans="1:2" x14ac:dyDescent="0.2">
      <c r="A586" s="4" t="str">
        <f>HYPERLINK("http://cdn.wpsstatic.com/images/full/3e22-5d028fd39491c.jpg", "http://cdn.wpsstatic.com/images/full/3e22-5d028fd39491c.jpg")</f>
        <v>http://cdn.wpsstatic.com/images/full/3e22-5d028fd39491c.jpg</v>
      </c>
      <c r="B586" s="5" t="s">
        <v>586</v>
      </c>
    </row>
    <row r="587" spans="1:2" x14ac:dyDescent="0.2">
      <c r="A587" s="4" t="str">
        <f>HYPERLINK("http://cdn.wpsstatic.com/images/full/3e29-5d028bd134a6b.jpg", "http://cdn.wpsstatic.com/images/full/3e29-5d028bd134a6b.jpg")</f>
        <v>http://cdn.wpsstatic.com/images/full/3e29-5d028bd134a6b.jpg</v>
      </c>
      <c r="B587" s="5" t="s">
        <v>587</v>
      </c>
    </row>
    <row r="588" spans="1:2" x14ac:dyDescent="0.2">
      <c r="A588" s="4" t="str">
        <f>HYPERLINK("http://cdn.wpsstatic.com/images/full/3e48-572a54f4a25c0.jpg", "http://cdn.wpsstatic.com/images/full/3e48-572a54f4a25c0.jpg")</f>
        <v>http://cdn.wpsstatic.com/images/full/3e48-572a54f4a25c0.jpg</v>
      </c>
      <c r="B588" s="5" t="s">
        <v>588</v>
      </c>
    </row>
    <row r="589" spans="1:2" x14ac:dyDescent="0.2">
      <c r="A589" s="4" t="str">
        <f>HYPERLINK("http://cdn.wpsstatic.com/images/full/3e4c-5fb4423e7e954.jpg", "http://cdn.wpsstatic.com/images/full/3e4c-5fb4423e7e954.jpg")</f>
        <v>http://cdn.wpsstatic.com/images/full/3e4c-5fb4423e7e954.jpg</v>
      </c>
      <c r="B589" s="5" t="s">
        <v>589</v>
      </c>
    </row>
    <row r="590" spans="1:2" x14ac:dyDescent="0.2">
      <c r="A590" s="4" t="str">
        <f>HYPERLINK("http://cdn.wpsstatic.com/images/full/3e64-60a6aabe77578.png", "http://cdn.wpsstatic.com/images/full/3e64-60a6aabe77578.png")</f>
        <v>http://cdn.wpsstatic.com/images/full/3e64-60a6aabe77578.png</v>
      </c>
      <c r="B590" s="5" t="s">
        <v>590</v>
      </c>
    </row>
    <row r="591" spans="1:2" x14ac:dyDescent="0.2">
      <c r="A591" s="4" t="str">
        <f>HYPERLINK("http://cdn.wpsstatic.com/images/full/3e87-5d028fa89ed18.jpg", "http://cdn.wpsstatic.com/images/full/3e87-5d028fa89ed18.jpg")</f>
        <v>http://cdn.wpsstatic.com/images/full/3e87-5d028fa89ed18.jpg</v>
      </c>
      <c r="B591" s="5" t="s">
        <v>591</v>
      </c>
    </row>
    <row r="592" spans="1:2" x14ac:dyDescent="0.2">
      <c r="A592" s="4" t="str">
        <f>HYPERLINK("http://cdn.wpsstatic.com/images/full/3f03-572a5628bae9b.jpg", "http://cdn.wpsstatic.com/images/full/3f03-572a5628bae9b.jpg")</f>
        <v>http://cdn.wpsstatic.com/images/full/3f03-572a5628bae9b.jpg</v>
      </c>
      <c r="B592" s="5" t="s">
        <v>592</v>
      </c>
    </row>
    <row r="593" spans="1:2" x14ac:dyDescent="0.2">
      <c r="A593" s="4" t="str">
        <f>HYPERLINK("http://cdn.wpsstatic.com/images/full/3f04-572a5345516a4.jpg", "http://cdn.wpsstatic.com/images/full/3f04-572a5345516a4.jpg")</f>
        <v>http://cdn.wpsstatic.com/images/full/3f04-572a5345516a4.jpg</v>
      </c>
      <c r="B593" s="5" t="s">
        <v>593</v>
      </c>
    </row>
    <row r="594" spans="1:2" x14ac:dyDescent="0.2">
      <c r="A594" s="4" t="str">
        <f>HYPERLINK("http://cdn.wpsstatic.com/images/full/3f19-572a54cc45e80.jpg", "http://cdn.wpsstatic.com/images/full/3f19-572a54cc45e80.jpg")</f>
        <v>http://cdn.wpsstatic.com/images/full/3f19-572a54cc45e80.jpg</v>
      </c>
      <c r="B594" s="5" t="s">
        <v>594</v>
      </c>
    </row>
    <row r="595" spans="1:2" x14ac:dyDescent="0.2">
      <c r="A595" s="4" t="str">
        <f>HYPERLINK("http://cdn.wpsstatic.com/images/full/3f68-572a556852de6.jpg", "http://cdn.wpsstatic.com/images/full/3f68-572a556852de6.jpg")</f>
        <v>http://cdn.wpsstatic.com/images/full/3f68-572a556852de6.jpg</v>
      </c>
      <c r="B595" s="5" t="s">
        <v>595</v>
      </c>
    </row>
    <row r="596" spans="1:2" x14ac:dyDescent="0.2">
      <c r="A596" s="4" t="str">
        <f>HYPERLINK("http://cdn.wpsstatic.com/images/full/3f6e-572a52610c11e.jpg", "http://cdn.wpsstatic.com/images/full/3f6e-572a52610c11e.jpg")</f>
        <v>http://cdn.wpsstatic.com/images/full/3f6e-572a52610c11e.jpg</v>
      </c>
      <c r="B596" s="5" t="s">
        <v>596</v>
      </c>
    </row>
    <row r="597" spans="1:2" x14ac:dyDescent="0.2">
      <c r="A597" s="4" t="str">
        <f>HYPERLINK("http://cdn.wpsstatic.com/images/full/3f7c-5d02990e7fb95.jpg", "http://cdn.wpsstatic.com/images/full/3f7c-5d02990e7fb95.jpg")</f>
        <v>http://cdn.wpsstatic.com/images/full/3f7c-5d02990e7fb95.jpg</v>
      </c>
      <c r="B597" s="5" t="s">
        <v>597</v>
      </c>
    </row>
    <row r="598" spans="1:2" x14ac:dyDescent="0.2">
      <c r="A598" s="4" t="str">
        <f>HYPERLINK("http://cdn.wpsstatic.com/images/full/3fa4-572a5302746a9.jpg", "http://cdn.wpsstatic.com/images/full/3fa4-572a5302746a9.jpg")</f>
        <v>http://cdn.wpsstatic.com/images/full/3fa4-572a5302746a9.jpg</v>
      </c>
      <c r="B598" s="5" t="s">
        <v>598</v>
      </c>
    </row>
    <row r="599" spans="1:2" x14ac:dyDescent="0.2">
      <c r="A599" s="4" t="str">
        <f>HYPERLINK("http://cdn.wpsstatic.com/images/full/3fb6-572a558c664e3.jpg", "http://cdn.wpsstatic.com/images/full/3fb6-572a558c664e3.jpg")</f>
        <v>http://cdn.wpsstatic.com/images/full/3fb6-572a558c664e3.jpg</v>
      </c>
      <c r="B599" s="5" t="s">
        <v>599</v>
      </c>
    </row>
    <row r="600" spans="1:2" x14ac:dyDescent="0.2">
      <c r="A600" s="4" t="str">
        <f>HYPERLINK("http://cdn.wpsstatic.com/images/full/3fbf-572a53cf61fac.jpg", "http://cdn.wpsstatic.com/images/full/3fbf-572a53cf61fac.jpg")</f>
        <v>http://cdn.wpsstatic.com/images/full/3fbf-572a53cf61fac.jpg</v>
      </c>
      <c r="B600" s="5" t="s">
        <v>600</v>
      </c>
    </row>
    <row r="601" spans="1:2" x14ac:dyDescent="0.2">
      <c r="A601" s="4" t="str">
        <f>HYPERLINK("http://cdn.wpsstatic.com/images/full/3fc0-572a540a023ab.jpg", "http://cdn.wpsstatic.com/images/full/3fc0-572a540a023ab.jpg")</f>
        <v>http://cdn.wpsstatic.com/images/full/3fc0-572a540a023ab.jpg</v>
      </c>
      <c r="B601" s="5" t="s">
        <v>601</v>
      </c>
    </row>
    <row r="602" spans="1:2" x14ac:dyDescent="0.2">
      <c r="A602" s="4" t="str">
        <f>HYPERLINK("http://cdn.wpsstatic.com/images/full/4005-572a75020d8e6.jpg", "http://cdn.wpsstatic.com/images/full/4005-572a75020d8e6.jpg")</f>
        <v>http://cdn.wpsstatic.com/images/full/4005-572a75020d8e6.jpg</v>
      </c>
      <c r="B602" s="5" t="s">
        <v>602</v>
      </c>
    </row>
    <row r="603" spans="1:2" x14ac:dyDescent="0.2">
      <c r="A603" s="4" t="str">
        <f>HYPERLINK("http://cdn.wpsstatic.com/images/full/400b-5ecd3c38bc1c7.jpg", "http://cdn.wpsstatic.com/images/full/400b-5ecd3c38bc1c7.jpg")</f>
        <v>http://cdn.wpsstatic.com/images/full/400b-5ecd3c38bc1c7.jpg</v>
      </c>
      <c r="B603" s="5" t="s">
        <v>603</v>
      </c>
    </row>
    <row r="604" spans="1:2" x14ac:dyDescent="0.2">
      <c r="A604" s="4" t="str">
        <f>HYPERLINK("http://cdn.wpsstatic.com/images/full/401f-572a548ecc946.jpg", "http://cdn.wpsstatic.com/images/full/401f-572a548ecc946.jpg")</f>
        <v>http://cdn.wpsstatic.com/images/full/401f-572a548ecc946.jpg</v>
      </c>
      <c r="B604" s="5" t="s">
        <v>604</v>
      </c>
    </row>
    <row r="605" spans="1:2" x14ac:dyDescent="0.2">
      <c r="A605" s="4" t="str">
        <f>HYPERLINK("http://cdn.wpsstatic.com/images/full/4048-572a56233667e.jpg", "http://cdn.wpsstatic.com/images/full/4048-572a56233667e.jpg")</f>
        <v>http://cdn.wpsstatic.com/images/full/4048-572a56233667e.jpg</v>
      </c>
      <c r="B605" s="5" t="s">
        <v>605</v>
      </c>
    </row>
    <row r="606" spans="1:2" x14ac:dyDescent="0.2">
      <c r="A606" s="4" t="str">
        <f>HYPERLINK("http://cdn.wpsstatic.com/images/full/40f2-572a55657fb9c.jpg", "http://cdn.wpsstatic.com/images/full/40f2-572a55657fb9c.jpg")</f>
        <v>http://cdn.wpsstatic.com/images/full/40f2-572a55657fb9c.jpg</v>
      </c>
      <c r="B606" s="5" t="s">
        <v>606</v>
      </c>
    </row>
    <row r="607" spans="1:2" x14ac:dyDescent="0.2">
      <c r="A607" s="4" t="str">
        <f>HYPERLINK("http://cdn.wpsstatic.com/images/full/4147-572a53935fa29.jpg", "http://cdn.wpsstatic.com/images/full/4147-572a53935fa29.jpg")</f>
        <v>http://cdn.wpsstatic.com/images/full/4147-572a53935fa29.jpg</v>
      </c>
      <c r="B607" s="5" t="s">
        <v>607</v>
      </c>
    </row>
    <row r="608" spans="1:2" x14ac:dyDescent="0.2">
      <c r="A608" s="4" t="str">
        <f>HYPERLINK("http://cdn.wpsstatic.com/images/full/4183-572a5516d7cbf.jpg", "http://cdn.wpsstatic.com/images/full/4183-572a5516d7cbf.jpg")</f>
        <v>http://cdn.wpsstatic.com/images/full/4183-572a5516d7cbf.jpg</v>
      </c>
      <c r="B608" s="5" t="s">
        <v>608</v>
      </c>
    </row>
    <row r="609" spans="1:2" x14ac:dyDescent="0.2">
      <c r="A609" s="4" t="str">
        <f>HYPERLINK("http://cdn.wpsstatic.com/images/full/41bb-572a54eebd39f.jpg", "http://cdn.wpsstatic.com/images/full/41bb-572a54eebd39f.jpg")</f>
        <v>http://cdn.wpsstatic.com/images/full/41bb-572a54eebd39f.jpg</v>
      </c>
      <c r="B609" s="5" t="s">
        <v>609</v>
      </c>
    </row>
    <row r="610" spans="1:2" x14ac:dyDescent="0.2">
      <c r="A610" s="4" t="str">
        <f>HYPERLINK("http://cdn.wpsstatic.com/images/full/420b-572a54b436448.jpg", "http://cdn.wpsstatic.com/images/full/420b-572a54b436448.jpg")</f>
        <v>http://cdn.wpsstatic.com/images/full/420b-572a54b436448.jpg</v>
      </c>
      <c r="B610" s="5" t="s">
        <v>610</v>
      </c>
    </row>
    <row r="611" spans="1:2" x14ac:dyDescent="0.2">
      <c r="A611" s="4" t="str">
        <f>HYPERLINK("http://cdn.wpsstatic.com/images/full/420b-6040f83584fc6.jpg", "http://cdn.wpsstatic.com/images/full/420b-6040f83584fc6.jpg")</f>
        <v>http://cdn.wpsstatic.com/images/full/420b-6040f83584fc6.jpg</v>
      </c>
      <c r="B611" s="5" t="s">
        <v>611</v>
      </c>
    </row>
    <row r="612" spans="1:2" x14ac:dyDescent="0.2">
      <c r="A612" s="4" t="str">
        <f>HYPERLINK("http://cdn.wpsstatic.com/images/full/421e-5d028eb1abc96.jpg", "http://cdn.wpsstatic.com/images/full/421e-5d028eb1abc96.jpg")</f>
        <v>http://cdn.wpsstatic.com/images/full/421e-5d028eb1abc96.jpg</v>
      </c>
      <c r="B612" s="5" t="s">
        <v>612</v>
      </c>
    </row>
    <row r="613" spans="1:2" x14ac:dyDescent="0.2">
      <c r="A613" s="4" t="str">
        <f>HYPERLINK("http://cdn.wpsstatic.com/images/full/4237-572a553a51d4a.jpg", "http://cdn.wpsstatic.com/images/full/4237-572a553a51d4a.jpg")</f>
        <v>http://cdn.wpsstatic.com/images/full/4237-572a553a51d4a.jpg</v>
      </c>
      <c r="B613" s="5" t="s">
        <v>613</v>
      </c>
    </row>
    <row r="614" spans="1:2" x14ac:dyDescent="0.2">
      <c r="A614" s="4" t="str">
        <f>HYPERLINK("http://cdn.wpsstatic.com/images/full/4238-5d028d5f48de8.jpg", "http://cdn.wpsstatic.com/images/full/4238-5d028d5f48de8.jpg")</f>
        <v>http://cdn.wpsstatic.com/images/full/4238-5d028d5f48de8.jpg</v>
      </c>
      <c r="B614" s="5" t="s">
        <v>614</v>
      </c>
    </row>
    <row r="615" spans="1:2" x14ac:dyDescent="0.2">
      <c r="A615" s="4" t="str">
        <f>HYPERLINK("http://cdn.wpsstatic.com/images/full/4248-5ccb51af86112.jpg", "http://cdn.wpsstatic.com/images/full/4248-5ccb51af86112.jpg")</f>
        <v>http://cdn.wpsstatic.com/images/full/4248-5ccb51af86112.jpg</v>
      </c>
      <c r="B615" s="5" t="s">
        <v>615</v>
      </c>
    </row>
    <row r="616" spans="1:2" x14ac:dyDescent="0.2">
      <c r="A616" s="4" t="str">
        <f>HYPERLINK("http://cdn.wpsstatic.com/images/full/4255-572a5648433d5.jpg", "http://cdn.wpsstatic.com/images/full/4255-572a5648433d5.jpg")</f>
        <v>http://cdn.wpsstatic.com/images/full/4255-572a5648433d5.jpg</v>
      </c>
      <c r="B616" s="5" t="s">
        <v>616</v>
      </c>
    </row>
    <row r="617" spans="1:2" x14ac:dyDescent="0.2">
      <c r="A617" s="4" t="str">
        <f>HYPERLINK("http://cdn.wpsstatic.com/images/full/42f3-572a538db8f16.jpg", "http://cdn.wpsstatic.com/images/full/42f3-572a538db8f16.jpg")</f>
        <v>http://cdn.wpsstatic.com/images/full/42f3-572a538db8f16.jpg</v>
      </c>
      <c r="B617" s="5" t="s">
        <v>617</v>
      </c>
    </row>
    <row r="618" spans="1:2" x14ac:dyDescent="0.2">
      <c r="A618" s="4" t="str">
        <f>HYPERLINK("http://cdn.wpsstatic.com/images/full/430d-572a53f3ed72a.jpg", "http://cdn.wpsstatic.com/images/full/430d-572a53f3ed72a.jpg")</f>
        <v>http://cdn.wpsstatic.com/images/full/430d-572a53f3ed72a.jpg</v>
      </c>
      <c r="B618" s="5" t="s">
        <v>618</v>
      </c>
    </row>
    <row r="619" spans="1:2" x14ac:dyDescent="0.2">
      <c r="A619" s="4" t="str">
        <f>HYPERLINK("http://cdn.wpsstatic.com/images/full/431c-572a538624bd5.jpg", "http://cdn.wpsstatic.com/images/full/431c-572a538624bd5.jpg")</f>
        <v>http://cdn.wpsstatic.com/images/full/431c-572a538624bd5.jpg</v>
      </c>
      <c r="B619" s="5" t="s">
        <v>619</v>
      </c>
    </row>
    <row r="620" spans="1:2" x14ac:dyDescent="0.2">
      <c r="A620" s="4" t="str">
        <f>HYPERLINK("http://cdn.wpsstatic.com/images/full/431c-572a5582a8b93.jpg", "http://cdn.wpsstatic.com/images/full/431c-572a5582a8b93.jpg")</f>
        <v>http://cdn.wpsstatic.com/images/full/431c-572a5582a8b93.jpg</v>
      </c>
      <c r="B620" s="5" t="s">
        <v>620</v>
      </c>
    </row>
    <row r="621" spans="1:2" x14ac:dyDescent="0.2">
      <c r="A621" s="4" t="str">
        <f>HYPERLINK("http://cdn.wpsstatic.com/images/full/433b-572a550e8efef.jpg", "http://cdn.wpsstatic.com/images/full/433b-572a550e8efef.jpg")</f>
        <v>http://cdn.wpsstatic.com/images/full/433b-572a550e8efef.jpg</v>
      </c>
      <c r="B621" s="5" t="s">
        <v>621</v>
      </c>
    </row>
    <row r="622" spans="1:2" x14ac:dyDescent="0.2">
      <c r="A622" s="4" t="str">
        <f>HYPERLINK("http://cdn.wpsstatic.com/images/full/434e-572a5461dd8de.jpg", "http://cdn.wpsstatic.com/images/full/434e-572a5461dd8de.jpg")</f>
        <v>http://cdn.wpsstatic.com/images/full/434e-572a5461dd8de.jpg</v>
      </c>
      <c r="B622" s="5" t="s">
        <v>622</v>
      </c>
    </row>
    <row r="623" spans="1:2" x14ac:dyDescent="0.2">
      <c r="A623" s="4" t="str">
        <f>HYPERLINK("http://cdn.wpsstatic.com/images/full/439f-572a53fa128ef.jpg", "http://cdn.wpsstatic.com/images/full/439f-572a53fa128ef.jpg")</f>
        <v>http://cdn.wpsstatic.com/images/full/439f-572a53fa128ef.jpg</v>
      </c>
      <c r="B623" s="5" t="s">
        <v>623</v>
      </c>
    </row>
    <row r="624" spans="1:2" x14ac:dyDescent="0.2">
      <c r="A624" s="4" t="str">
        <f>HYPERLINK("http://cdn.wpsstatic.com/images/full/43a0-572a539ec0852.jpg", "http://cdn.wpsstatic.com/images/full/43a0-572a539ec0852.jpg")</f>
        <v>http://cdn.wpsstatic.com/images/full/43a0-572a539ec0852.jpg</v>
      </c>
      <c r="B624" s="5" t="s">
        <v>624</v>
      </c>
    </row>
    <row r="625" spans="1:2" x14ac:dyDescent="0.2">
      <c r="A625" s="4" t="str">
        <f>HYPERLINK("http://cdn.wpsstatic.com/images/full/43a6-572a535887992.jpg", "http://cdn.wpsstatic.com/images/full/43a6-572a535887992.jpg")</f>
        <v>http://cdn.wpsstatic.com/images/full/43a6-572a535887992.jpg</v>
      </c>
      <c r="B625" s="5" t="s">
        <v>625</v>
      </c>
    </row>
    <row r="626" spans="1:2" x14ac:dyDescent="0.2">
      <c r="A626" s="4" t="str">
        <f>HYPERLINK("http://cdn.wpsstatic.com/images/full/43a6-572a535887992.jpg", "http://cdn.wpsstatic.com/images/full/43a6-572a535887992.jpg")</f>
        <v>http://cdn.wpsstatic.com/images/full/43a6-572a535887992.jpg</v>
      </c>
      <c r="B626" s="5" t="s">
        <v>626</v>
      </c>
    </row>
    <row r="627" spans="1:2" x14ac:dyDescent="0.2">
      <c r="A627" s="4" t="str">
        <f>HYPERLINK("http://cdn.wpsstatic.com/images/full/43a6-572a535887992.jpg", "http://cdn.wpsstatic.com/images/full/43a6-572a535887992.jpg")</f>
        <v>http://cdn.wpsstatic.com/images/full/43a6-572a535887992.jpg</v>
      </c>
      <c r="B627" s="5" t="s">
        <v>627</v>
      </c>
    </row>
    <row r="628" spans="1:2" x14ac:dyDescent="0.2">
      <c r="A628" s="4" t="str">
        <f>HYPERLINK("http://cdn.wpsstatic.com/images/full/43a6-5f52a01ca851b.jpg", "http://cdn.wpsstatic.com/images/full/43a6-5f52a01ca851b.jpg")</f>
        <v>http://cdn.wpsstatic.com/images/full/43a6-5f52a01ca851b.jpg</v>
      </c>
      <c r="B628" s="5" t="s">
        <v>628</v>
      </c>
    </row>
    <row r="629" spans="1:2" x14ac:dyDescent="0.2">
      <c r="A629" s="4" t="str">
        <f>HYPERLINK("http://cdn.wpsstatic.com/images/full/43d6-572a54fca52d3.jpg", "http://cdn.wpsstatic.com/images/full/43d6-572a54fca52d3.jpg")</f>
        <v>http://cdn.wpsstatic.com/images/full/43d6-572a54fca52d3.jpg</v>
      </c>
      <c r="B629" s="5" t="s">
        <v>629</v>
      </c>
    </row>
    <row r="630" spans="1:2" x14ac:dyDescent="0.2">
      <c r="A630" s="4" t="str">
        <f>HYPERLINK("http://cdn.wpsstatic.com/images/full/4403-572a536e2574e.jpg", "http://cdn.wpsstatic.com/images/full/4403-572a536e2574e.jpg")</f>
        <v>http://cdn.wpsstatic.com/images/full/4403-572a536e2574e.jpg</v>
      </c>
      <c r="B630" s="5" t="s">
        <v>630</v>
      </c>
    </row>
    <row r="631" spans="1:2" x14ac:dyDescent="0.2">
      <c r="A631" s="4" t="str">
        <f>HYPERLINK("http://cdn.wpsstatic.com/images/full/440a-572a55471aea2.jpg", "http://cdn.wpsstatic.com/images/full/440a-572a55471aea2.jpg")</f>
        <v>http://cdn.wpsstatic.com/images/full/440a-572a55471aea2.jpg</v>
      </c>
      <c r="B631" s="5" t="s">
        <v>631</v>
      </c>
    </row>
    <row r="632" spans="1:2" x14ac:dyDescent="0.2">
      <c r="A632" s="4" t="str">
        <f>HYPERLINK("http://cdn.wpsstatic.com/images/full/4413-572a5448ee365.jpg", "http://cdn.wpsstatic.com/images/full/4413-572a5448ee365.jpg")</f>
        <v>http://cdn.wpsstatic.com/images/full/4413-572a5448ee365.jpg</v>
      </c>
      <c r="B632" s="5" t="s">
        <v>632</v>
      </c>
    </row>
    <row r="633" spans="1:2" x14ac:dyDescent="0.2">
      <c r="A633" s="4" t="str">
        <f>HYPERLINK("http://cdn.wpsstatic.com/images/full/4419-5f579f775d75f.jpg", "http://cdn.wpsstatic.com/images/full/4419-5f579f775d75f.jpg")</f>
        <v>http://cdn.wpsstatic.com/images/full/4419-5f579f775d75f.jpg</v>
      </c>
      <c r="B633" s="5" t="s">
        <v>633</v>
      </c>
    </row>
    <row r="634" spans="1:2" x14ac:dyDescent="0.2">
      <c r="A634" s="4" t="str">
        <f>HYPERLINK("http://cdn.wpsstatic.com/images/full/4434-5ecd3c3b3a110.jpg", "http://cdn.wpsstatic.com/images/full/4434-5ecd3c3b3a110.jpg")</f>
        <v>http://cdn.wpsstatic.com/images/full/4434-5ecd3c3b3a110.jpg</v>
      </c>
      <c r="B634" s="5" t="s">
        <v>634</v>
      </c>
    </row>
    <row r="635" spans="1:2" x14ac:dyDescent="0.2">
      <c r="A635" s="4" t="str">
        <f>HYPERLINK("http://cdn.wpsstatic.com/images/full/448e-572a563130ad0.jpg", "http://cdn.wpsstatic.com/images/full/448e-572a563130ad0.jpg")</f>
        <v>http://cdn.wpsstatic.com/images/full/448e-572a563130ad0.jpg</v>
      </c>
      <c r="B635" s="5" t="s">
        <v>635</v>
      </c>
    </row>
    <row r="636" spans="1:2" x14ac:dyDescent="0.2">
      <c r="A636" s="4" t="str">
        <f>HYPERLINK("http://cdn.wpsstatic.com/images/full/449b-572a5313cee6d.jpg", "http://cdn.wpsstatic.com/images/full/449b-572a5313cee6d.jpg")</f>
        <v>http://cdn.wpsstatic.com/images/full/449b-572a5313cee6d.jpg</v>
      </c>
      <c r="B636" s="5" t="s">
        <v>636</v>
      </c>
    </row>
    <row r="637" spans="1:2" x14ac:dyDescent="0.2">
      <c r="A637" s="4" t="str">
        <f>HYPERLINK("http://cdn.wpsstatic.com/images/full/44b3-572a552ee4e14.jpg", "http://cdn.wpsstatic.com/images/full/44b3-572a552ee4e14.jpg")</f>
        <v>http://cdn.wpsstatic.com/images/full/44b3-572a552ee4e14.jpg</v>
      </c>
      <c r="B637" s="5" t="s">
        <v>637</v>
      </c>
    </row>
    <row r="638" spans="1:2" x14ac:dyDescent="0.2">
      <c r="A638" s="4" t="str">
        <f>HYPERLINK("http://cdn.wpsstatic.com/images/full/44ba-572a53ff4de54.jpg", "http://cdn.wpsstatic.com/images/full/44ba-572a53ff4de54.jpg")</f>
        <v>http://cdn.wpsstatic.com/images/full/44ba-572a53ff4de54.jpg</v>
      </c>
      <c r="B638" s="5" t="s">
        <v>638</v>
      </c>
    </row>
    <row r="639" spans="1:2" x14ac:dyDescent="0.2">
      <c r="A639" s="4" t="str">
        <f>HYPERLINK("http://cdn.wpsstatic.com/images/full/44d0-572a537d455a3.jpg", "http://cdn.wpsstatic.com/images/full/44d0-572a537d455a3.jpg")</f>
        <v>http://cdn.wpsstatic.com/images/full/44d0-572a537d455a3.jpg</v>
      </c>
      <c r="B639" s="5" t="s">
        <v>639</v>
      </c>
    </row>
    <row r="640" spans="1:2" x14ac:dyDescent="0.2">
      <c r="A640" s="4" t="str">
        <f>HYPERLINK("http://cdn.wpsstatic.com/images/full/44de-5d02928849556.jpg", "http://cdn.wpsstatic.com/images/full/44de-5d02928849556.jpg")</f>
        <v>http://cdn.wpsstatic.com/images/full/44de-5d02928849556.jpg</v>
      </c>
      <c r="B640" s="5" t="s">
        <v>640</v>
      </c>
    </row>
    <row r="641" spans="1:2" x14ac:dyDescent="0.2">
      <c r="A641" s="4" t="str">
        <f>HYPERLINK("http://cdn.wpsstatic.com/images/full/450b-660426b000e93.png", "http://cdn.wpsstatic.com/images/full/450b-660426b000e93.png")</f>
        <v>http://cdn.wpsstatic.com/images/full/450b-660426b000e93.png</v>
      </c>
      <c r="B641" s="5" t="s">
        <v>641</v>
      </c>
    </row>
    <row r="642" spans="1:2" x14ac:dyDescent="0.2">
      <c r="A642" s="4" t="str">
        <f>HYPERLINK("http://cdn.wpsstatic.com/images/full/452e-572a545611cc5.jpg", "http://cdn.wpsstatic.com/images/full/452e-572a545611cc5.jpg")</f>
        <v>http://cdn.wpsstatic.com/images/full/452e-572a545611cc5.jpg</v>
      </c>
      <c r="B642" s="5" t="s">
        <v>642</v>
      </c>
    </row>
    <row r="643" spans="1:2" x14ac:dyDescent="0.2">
      <c r="A643" s="4" t="str">
        <f>HYPERLINK("http://cdn.wpsstatic.com/images/full/4549-6040f8a9a533a.jpg", "http://cdn.wpsstatic.com/images/full/4549-6040f8a9a533a.jpg")</f>
        <v>http://cdn.wpsstatic.com/images/full/4549-6040f8a9a533a.jpg</v>
      </c>
      <c r="B643" s="5" t="s">
        <v>643</v>
      </c>
    </row>
    <row r="644" spans="1:2" x14ac:dyDescent="0.2">
      <c r="A644" s="4" t="str">
        <f>HYPERLINK("http://cdn.wpsstatic.com/images/full/4557-572a54a919a78.jpg", "http://cdn.wpsstatic.com/images/full/4557-572a54a919a78.jpg")</f>
        <v>http://cdn.wpsstatic.com/images/full/4557-572a54a919a78.jpg</v>
      </c>
      <c r="B644" s="5" t="s">
        <v>644</v>
      </c>
    </row>
    <row r="645" spans="1:2" x14ac:dyDescent="0.2">
      <c r="A645" s="4" t="str">
        <f>HYPERLINK("http://cdn.wpsstatic.com/images/full/4576-572a5531d1601.jpg", "http://cdn.wpsstatic.com/images/full/4576-572a5531d1601.jpg")</f>
        <v>http://cdn.wpsstatic.com/images/full/4576-572a5531d1601.jpg</v>
      </c>
      <c r="B645" s="5" t="s">
        <v>645</v>
      </c>
    </row>
    <row r="646" spans="1:2" x14ac:dyDescent="0.2">
      <c r="A646" s="4" t="str">
        <f>HYPERLINK("http://cdn.wpsstatic.com/images/full/4584-5d029a4fc8143.jpg", "http://cdn.wpsstatic.com/images/full/4584-5d029a4fc8143.jpg")</f>
        <v>http://cdn.wpsstatic.com/images/full/4584-5d029a4fc8143.jpg</v>
      </c>
      <c r="B646" s="5" t="s">
        <v>646</v>
      </c>
    </row>
    <row r="647" spans="1:2" x14ac:dyDescent="0.2">
      <c r="A647" s="4" t="str">
        <f>HYPERLINK("http://cdn.wpsstatic.com/images/full/45a3-5d0297bc25be4.jpg", "http://cdn.wpsstatic.com/images/full/45a3-5d0297bc25be4.jpg")</f>
        <v>http://cdn.wpsstatic.com/images/full/45a3-5d0297bc25be4.jpg</v>
      </c>
      <c r="B647" s="5" t="s">
        <v>647</v>
      </c>
    </row>
    <row r="648" spans="1:2" x14ac:dyDescent="0.2">
      <c r="A648" s="4" t="str">
        <f>HYPERLINK("http://cdn.wpsstatic.com/images/full/45f3-572a550d807ad.jpg", "http://cdn.wpsstatic.com/images/full/45f3-572a550d807ad.jpg")</f>
        <v>http://cdn.wpsstatic.com/images/full/45f3-572a550d807ad.jpg</v>
      </c>
      <c r="B648" s="5" t="s">
        <v>648</v>
      </c>
    </row>
    <row r="649" spans="1:2" x14ac:dyDescent="0.2">
      <c r="A649" s="4" t="str">
        <f>HYPERLINK("http://cdn.wpsstatic.com/images/full/45f6-60a6aa0fa8c80.png", "http://cdn.wpsstatic.com/images/full/45f6-60a6aa0fa8c80.png")</f>
        <v>http://cdn.wpsstatic.com/images/full/45f6-60a6aa0fa8c80.png</v>
      </c>
      <c r="B649" s="5" t="s">
        <v>649</v>
      </c>
    </row>
    <row r="650" spans="1:2" x14ac:dyDescent="0.2">
      <c r="A650" s="4" t="str">
        <f>HYPERLINK("http://cdn.wpsstatic.com/images/full/4636-5f57bb07a125a.jpg", "http://cdn.wpsstatic.com/images/full/4636-5f57bb07a125a.jpg")</f>
        <v>http://cdn.wpsstatic.com/images/full/4636-5f57bb07a125a.jpg</v>
      </c>
      <c r="B650" s="5" t="s">
        <v>650</v>
      </c>
    </row>
    <row r="651" spans="1:2" x14ac:dyDescent="0.2">
      <c r="A651" s="4" t="str">
        <f>HYPERLINK("http://cdn.wpsstatic.com/images/full/463c-5ecd3c3947cce.jpg", "http://cdn.wpsstatic.com/images/full/463c-5ecd3c3947cce.jpg")</f>
        <v>http://cdn.wpsstatic.com/images/full/463c-5ecd3c3947cce.jpg</v>
      </c>
      <c r="B651" s="5" t="s">
        <v>651</v>
      </c>
    </row>
    <row r="652" spans="1:2" x14ac:dyDescent="0.2">
      <c r="A652" s="4" t="str">
        <f>HYPERLINK("http://cdn.wpsstatic.com/images/full/4646-6040f80a618de.jpg", "http://cdn.wpsstatic.com/images/full/4646-6040f80a618de.jpg")</f>
        <v>http://cdn.wpsstatic.com/images/full/4646-6040f80a618de.jpg</v>
      </c>
      <c r="B652" s="5" t="s">
        <v>652</v>
      </c>
    </row>
    <row r="653" spans="1:2" x14ac:dyDescent="0.2">
      <c r="A653" s="4" t="str">
        <f>HYPERLINK("http://cdn.wpsstatic.com/images/full/4666-572a5306c8926.jpg", "http://cdn.wpsstatic.com/images/full/4666-572a5306c8926.jpg")</f>
        <v>http://cdn.wpsstatic.com/images/full/4666-572a5306c8926.jpg</v>
      </c>
      <c r="B653" s="5" t="s">
        <v>653</v>
      </c>
    </row>
    <row r="654" spans="1:2" x14ac:dyDescent="0.2">
      <c r="A654" s="4" t="str">
        <f>HYPERLINK("http://cdn.wpsstatic.com/images/full/467b-572a563c1a311.jpg", "http://cdn.wpsstatic.com/images/full/467b-572a563c1a311.jpg")</f>
        <v>http://cdn.wpsstatic.com/images/full/467b-572a563c1a311.jpg</v>
      </c>
      <c r="B654" s="5" t="s">
        <v>654</v>
      </c>
    </row>
    <row r="655" spans="1:2" x14ac:dyDescent="0.2">
      <c r="A655" s="4" t="str">
        <f>HYPERLINK("http://cdn.wpsstatic.com/images/full/46a8-572a548e564fa.jpg", "http://cdn.wpsstatic.com/images/full/46a8-572a548e564fa.jpg")</f>
        <v>http://cdn.wpsstatic.com/images/full/46a8-572a548e564fa.jpg</v>
      </c>
      <c r="B655" s="5" t="s">
        <v>655</v>
      </c>
    </row>
    <row r="656" spans="1:2" x14ac:dyDescent="0.2">
      <c r="A656" s="4" t="str">
        <f>HYPERLINK("http://cdn.wpsstatic.com/images/full/46ab-572a5285d2d2c.jpg", "http://cdn.wpsstatic.com/images/full/46ab-572a5285d2d2c.jpg")</f>
        <v>http://cdn.wpsstatic.com/images/full/46ab-572a5285d2d2c.jpg</v>
      </c>
      <c r="B656" s="5" t="s">
        <v>656</v>
      </c>
    </row>
    <row r="657" spans="1:2" x14ac:dyDescent="0.2">
      <c r="A657" s="4" t="str">
        <f>HYPERLINK("http://cdn.wpsstatic.com/images/full/46be-572a526423db8.jpg", "http://cdn.wpsstatic.com/images/full/46be-572a526423db8.jpg")</f>
        <v>http://cdn.wpsstatic.com/images/full/46be-572a526423db8.jpg</v>
      </c>
      <c r="B657" s="5" t="s">
        <v>657</v>
      </c>
    </row>
    <row r="658" spans="1:2" x14ac:dyDescent="0.2">
      <c r="A658" s="4" t="str">
        <f>HYPERLINK("http://cdn.wpsstatic.com/images/full/46d1-572a55a1d4767.jpg", "http://cdn.wpsstatic.com/images/full/46d1-572a55a1d4767.jpg")</f>
        <v>http://cdn.wpsstatic.com/images/full/46d1-572a55a1d4767.jpg</v>
      </c>
      <c r="B658" s="5" t="s">
        <v>658</v>
      </c>
    </row>
    <row r="659" spans="1:2" x14ac:dyDescent="0.2">
      <c r="A659" s="4" t="str">
        <f>HYPERLINK("http://cdn.wpsstatic.com/images/full/46da-572a559feab43.jpg", "http://cdn.wpsstatic.com/images/full/46da-572a559feab43.jpg")</f>
        <v>http://cdn.wpsstatic.com/images/full/46da-572a559feab43.jpg</v>
      </c>
      <c r="B659" s="5" t="s">
        <v>659</v>
      </c>
    </row>
    <row r="660" spans="1:2" x14ac:dyDescent="0.2">
      <c r="A660" s="4" t="str">
        <f>HYPERLINK("http://cdn.wpsstatic.com/images/full/46ea-572a55890e524.jpg", "http://cdn.wpsstatic.com/images/full/46ea-572a55890e524.jpg")</f>
        <v>http://cdn.wpsstatic.com/images/full/46ea-572a55890e524.jpg</v>
      </c>
      <c r="B660" s="5" t="s">
        <v>660</v>
      </c>
    </row>
    <row r="661" spans="1:2" x14ac:dyDescent="0.2">
      <c r="A661" s="4" t="str">
        <f>HYPERLINK("http://cdn.wpsstatic.com/images/full/4711-572a75039cdae.jpg", "http://cdn.wpsstatic.com/images/full/4711-572a75039cdae.jpg")</f>
        <v>http://cdn.wpsstatic.com/images/full/4711-572a75039cdae.jpg</v>
      </c>
      <c r="B661" s="5" t="s">
        <v>661</v>
      </c>
    </row>
    <row r="662" spans="1:2" x14ac:dyDescent="0.2">
      <c r="A662" s="4" t="str">
        <f>HYPERLINK("http://cdn.wpsstatic.com/images/full/472f-572a55a66c59d.jpg", "http://cdn.wpsstatic.com/images/full/472f-572a55a66c59d.jpg")</f>
        <v>http://cdn.wpsstatic.com/images/full/472f-572a55a66c59d.jpg</v>
      </c>
      <c r="B662" s="5" t="s">
        <v>662</v>
      </c>
    </row>
    <row r="663" spans="1:2" x14ac:dyDescent="0.2">
      <c r="A663" s="4" t="str">
        <f>HYPERLINK("http://cdn.wpsstatic.com/images/full/4747-572a56460c635.jpg", "http://cdn.wpsstatic.com/images/full/4747-572a56460c635.jpg")</f>
        <v>http://cdn.wpsstatic.com/images/full/4747-572a56460c635.jpg</v>
      </c>
      <c r="B663" s="5" t="s">
        <v>663</v>
      </c>
    </row>
    <row r="664" spans="1:2" x14ac:dyDescent="0.2">
      <c r="A664" s="4" t="str">
        <f>HYPERLINK("http://cdn.wpsstatic.com/images/full/4748-5a26f069a0936.jpg", "http://cdn.wpsstatic.com/images/full/4748-5a26f069a0936.jpg")</f>
        <v>http://cdn.wpsstatic.com/images/full/4748-5a26f069a0936.jpg</v>
      </c>
      <c r="B664" s="5" t="s">
        <v>664</v>
      </c>
    </row>
    <row r="665" spans="1:2" x14ac:dyDescent="0.2">
      <c r="A665" s="4" t="str">
        <f>HYPERLINK("http://cdn.wpsstatic.com/images/full/478a-572a524b99d0d.jpg", "http://cdn.wpsstatic.com/images/full/478a-572a524b99d0d.jpg")</f>
        <v>http://cdn.wpsstatic.com/images/full/478a-572a524b99d0d.jpg</v>
      </c>
      <c r="B665" s="5" t="s">
        <v>665</v>
      </c>
    </row>
    <row r="666" spans="1:2" x14ac:dyDescent="0.2">
      <c r="A666" s="4" t="str">
        <f>HYPERLINK("http://cdn.wpsstatic.com/images/full/47f5-572a53fddb394.jpg", "http://cdn.wpsstatic.com/images/full/47f5-572a53fddb394.jpg")</f>
        <v>http://cdn.wpsstatic.com/images/full/47f5-572a53fddb394.jpg</v>
      </c>
      <c r="B666" s="5" t="s">
        <v>666</v>
      </c>
    </row>
    <row r="667" spans="1:2" x14ac:dyDescent="0.2">
      <c r="A667" s="4" t="str">
        <f>HYPERLINK("http://cdn.wpsstatic.com/images/full/485f-572a5403b13b1.jpg", "http://cdn.wpsstatic.com/images/full/485f-572a5403b13b1.jpg")</f>
        <v>http://cdn.wpsstatic.com/images/full/485f-572a5403b13b1.jpg</v>
      </c>
      <c r="B667" s="5" t="s">
        <v>667</v>
      </c>
    </row>
    <row r="668" spans="1:2" x14ac:dyDescent="0.2">
      <c r="A668" s="4" t="str">
        <f>HYPERLINK("http://cdn.wpsstatic.com/images/full/4863-5fb442de9b151.jpg", "http://cdn.wpsstatic.com/images/full/4863-5fb442de9b151.jpg")</f>
        <v>http://cdn.wpsstatic.com/images/full/4863-5fb442de9b151.jpg</v>
      </c>
      <c r="B668" s="5" t="s">
        <v>668</v>
      </c>
    </row>
    <row r="669" spans="1:2" x14ac:dyDescent="0.2">
      <c r="A669" s="4" t="str">
        <f>HYPERLINK("http://cdn.wpsstatic.com/images/full/4878-572a5470278bd.jpg", "http://cdn.wpsstatic.com/images/full/4878-572a5470278bd.jpg")</f>
        <v>http://cdn.wpsstatic.com/images/full/4878-572a5470278bd.jpg</v>
      </c>
      <c r="B669" s="5" t="s">
        <v>669</v>
      </c>
    </row>
    <row r="670" spans="1:2" x14ac:dyDescent="0.2">
      <c r="A670" s="4" t="str">
        <f>HYPERLINK("http://cdn.wpsstatic.com/images/full/48a0-572a5458792fb.jpg", "http://cdn.wpsstatic.com/images/full/48a0-572a5458792fb.jpg")</f>
        <v>http://cdn.wpsstatic.com/images/full/48a0-572a5458792fb.jpg</v>
      </c>
      <c r="B670" s="5" t="s">
        <v>670</v>
      </c>
    </row>
    <row r="671" spans="1:2" x14ac:dyDescent="0.2">
      <c r="A671" s="4" t="str">
        <f>HYPERLINK("http://cdn.wpsstatic.com/images/full/48d1-5d1684ab2609c.jpg", "http://cdn.wpsstatic.com/images/full/48d1-5d1684ab2609c.jpg")</f>
        <v>http://cdn.wpsstatic.com/images/full/48d1-5d1684ab2609c.jpg</v>
      </c>
      <c r="B671" s="5" t="s">
        <v>671</v>
      </c>
    </row>
    <row r="672" spans="1:2" x14ac:dyDescent="0.2">
      <c r="A672" s="4" t="str">
        <f>HYPERLINK("http://cdn.wpsstatic.com/images/full/48eb-572a74fb6f133.jpg", "http://cdn.wpsstatic.com/images/full/48eb-572a74fb6f133.jpg")</f>
        <v>http://cdn.wpsstatic.com/images/full/48eb-572a74fb6f133.jpg</v>
      </c>
      <c r="B672" s="5" t="s">
        <v>672</v>
      </c>
    </row>
    <row r="673" spans="1:2" x14ac:dyDescent="0.2">
      <c r="A673" s="4" t="str">
        <f>HYPERLINK("http://cdn.wpsstatic.com/images/full/4917-572a5512bdb93.jpg", "http://cdn.wpsstatic.com/images/full/4917-572a5512bdb93.jpg")</f>
        <v>http://cdn.wpsstatic.com/images/full/4917-572a5512bdb93.jpg</v>
      </c>
      <c r="B673" s="5" t="s">
        <v>673</v>
      </c>
    </row>
    <row r="674" spans="1:2" x14ac:dyDescent="0.2">
      <c r="A674" s="4" t="str">
        <f>HYPERLINK("http://cdn.wpsstatic.com/images/full/4995-572a53397e866.jpg", "http://cdn.wpsstatic.com/images/full/4995-572a53397e866.jpg")</f>
        <v>http://cdn.wpsstatic.com/images/full/4995-572a53397e866.jpg</v>
      </c>
      <c r="B674" s="5" t="s">
        <v>674</v>
      </c>
    </row>
    <row r="675" spans="1:2" x14ac:dyDescent="0.2">
      <c r="A675" s="4" t="str">
        <f>HYPERLINK("http://cdn.wpsstatic.com/images/full/4995-5f32a6a06cc49.jpg", "http://cdn.wpsstatic.com/images/full/4995-5f32a6a06cc49.jpg")</f>
        <v>http://cdn.wpsstatic.com/images/full/4995-5f32a6a06cc49.jpg</v>
      </c>
      <c r="B675" s="5" t="s">
        <v>675</v>
      </c>
    </row>
    <row r="676" spans="1:2" x14ac:dyDescent="0.2">
      <c r="A676" s="4" t="str">
        <f>HYPERLINK("http://cdn.wpsstatic.com/images/full/49b9-572a554831325.jpg", "http://cdn.wpsstatic.com/images/full/49b9-572a554831325.jpg")</f>
        <v>http://cdn.wpsstatic.com/images/full/49b9-572a554831325.jpg</v>
      </c>
      <c r="B676" s="5" t="s">
        <v>676</v>
      </c>
    </row>
    <row r="677" spans="1:2" x14ac:dyDescent="0.2">
      <c r="A677" s="4" t="str">
        <f>HYPERLINK("http://cdn.wpsstatic.com/images/full/49c2-572a53100097f.jpg", "http://cdn.wpsstatic.com/images/full/49c2-572a53100097f.jpg")</f>
        <v>http://cdn.wpsstatic.com/images/full/49c2-572a53100097f.jpg</v>
      </c>
      <c r="B677" s="5" t="s">
        <v>677</v>
      </c>
    </row>
    <row r="678" spans="1:2" x14ac:dyDescent="0.2">
      <c r="A678" s="4" t="str">
        <f>HYPERLINK("http://cdn.wpsstatic.com/images/full/49e8-6171d6a650c6c.png", "http://cdn.wpsstatic.com/images/full/49e8-6171d6a650c6c.png")</f>
        <v>http://cdn.wpsstatic.com/images/full/49e8-6171d6a650c6c.png</v>
      </c>
      <c r="B678" s="5" t="s">
        <v>678</v>
      </c>
    </row>
    <row r="679" spans="1:2" x14ac:dyDescent="0.2">
      <c r="A679" s="4" t="str">
        <f>HYPERLINK("http://cdn.wpsstatic.com/images/full/49ee-60bfdbf01bcdc.png", "http://cdn.wpsstatic.com/images/full/49ee-60bfdbf01bcdc.png")</f>
        <v>http://cdn.wpsstatic.com/images/full/49ee-60bfdbf01bcdc.png</v>
      </c>
      <c r="B679" s="5" t="s">
        <v>679</v>
      </c>
    </row>
    <row r="680" spans="1:2" x14ac:dyDescent="0.2">
      <c r="A680" s="4" t="str">
        <f>HYPERLINK("http://cdn.wpsstatic.com/images/full/4a0e-5ecd3c38dc088.jpg", "http://cdn.wpsstatic.com/images/full/4a0e-5ecd3c38dc088.jpg")</f>
        <v>http://cdn.wpsstatic.com/images/full/4a0e-5ecd3c38dc088.jpg</v>
      </c>
      <c r="B680" s="5" t="s">
        <v>680</v>
      </c>
    </row>
    <row r="681" spans="1:2" x14ac:dyDescent="0.2">
      <c r="A681" s="4" t="str">
        <f>HYPERLINK("http://cdn.wpsstatic.com/images/full/4a2b-572a546b5a244.jpg", "http://cdn.wpsstatic.com/images/full/4a2b-572a546b5a244.jpg")</f>
        <v>http://cdn.wpsstatic.com/images/full/4a2b-572a546b5a244.jpg</v>
      </c>
      <c r="B681" s="5" t="s">
        <v>681</v>
      </c>
    </row>
    <row r="682" spans="1:2" x14ac:dyDescent="0.2">
      <c r="A682" s="4" t="str">
        <f>HYPERLINK("http://cdn.wpsstatic.com/images/full/4a2e-5d028e1f63d39.jpg", "http://cdn.wpsstatic.com/images/full/4a2e-5d028e1f63d39.jpg")</f>
        <v>http://cdn.wpsstatic.com/images/full/4a2e-5d028e1f63d39.jpg</v>
      </c>
      <c r="B682" s="5" t="s">
        <v>682</v>
      </c>
    </row>
    <row r="683" spans="1:2" x14ac:dyDescent="0.2">
      <c r="A683" s="4" t="str">
        <f>HYPERLINK("http://cdn.wpsstatic.com/images/full/4a47-572a534102686.jpg", "http://cdn.wpsstatic.com/images/full/4a47-572a534102686.jpg")</f>
        <v>http://cdn.wpsstatic.com/images/full/4a47-572a534102686.jpg</v>
      </c>
      <c r="B683" s="5" t="s">
        <v>683</v>
      </c>
    </row>
    <row r="684" spans="1:2" x14ac:dyDescent="0.2">
      <c r="A684" s="4" t="str">
        <f>HYPERLINK("http://cdn.wpsstatic.com/images/full/4a49-5f57a43e89a35.jpg", "http://cdn.wpsstatic.com/images/full/4a49-5f57a43e89a35.jpg")</f>
        <v>http://cdn.wpsstatic.com/images/full/4a49-5f57a43e89a35.jpg</v>
      </c>
      <c r="B684" s="5" t="s">
        <v>684</v>
      </c>
    </row>
    <row r="685" spans="1:2" x14ac:dyDescent="0.2">
      <c r="A685" s="4" t="str">
        <f>HYPERLINK("http://cdn.wpsstatic.com/images/full/4a81-572a74ff701d3.jpg", "http://cdn.wpsstatic.com/images/full/4a81-572a74ff701d3.jpg")</f>
        <v>http://cdn.wpsstatic.com/images/full/4a81-572a74ff701d3.jpg</v>
      </c>
      <c r="B685" s="5" t="s">
        <v>685</v>
      </c>
    </row>
    <row r="686" spans="1:2" x14ac:dyDescent="0.2">
      <c r="A686" s="4" t="str">
        <f>HYPERLINK("http://cdn.wpsstatic.com/images/full/4a8b-5d0293204f8c6.jpg", "http://cdn.wpsstatic.com/images/full/4a8b-5d0293204f8c6.jpg")</f>
        <v>http://cdn.wpsstatic.com/images/full/4a8b-5d0293204f8c6.jpg</v>
      </c>
      <c r="B686" s="5" t="s">
        <v>686</v>
      </c>
    </row>
    <row r="687" spans="1:2" x14ac:dyDescent="0.2">
      <c r="A687" s="4" t="str">
        <f>HYPERLINK("http://cdn.wpsstatic.com/images/full/4aa5-63643b28d9c0a.png", "http://cdn.wpsstatic.com/images/full/4aa5-63643b28d9c0a.png")</f>
        <v>http://cdn.wpsstatic.com/images/full/4aa5-63643b28d9c0a.png</v>
      </c>
      <c r="B687" s="5" t="s">
        <v>687</v>
      </c>
    </row>
    <row r="688" spans="1:2" x14ac:dyDescent="0.2">
      <c r="A688" s="4" t="str">
        <f>HYPERLINK("http://cdn.wpsstatic.com/images/full/4aaf-572a53e78b7c3.jpg", "http://cdn.wpsstatic.com/images/full/4aaf-572a53e78b7c3.jpg")</f>
        <v>http://cdn.wpsstatic.com/images/full/4aaf-572a53e78b7c3.jpg</v>
      </c>
      <c r="B688" s="5" t="s">
        <v>688</v>
      </c>
    </row>
    <row r="689" spans="1:2" x14ac:dyDescent="0.2">
      <c r="A689" s="4" t="str">
        <f>HYPERLINK("http://cdn.wpsstatic.com/images/full/4ac2-5f579c00edbd3.jpg", "http://cdn.wpsstatic.com/images/full/4ac2-5f579c00edbd3.jpg")</f>
        <v>http://cdn.wpsstatic.com/images/full/4ac2-5f579c00edbd3.jpg</v>
      </c>
      <c r="B689" s="5" t="s">
        <v>689</v>
      </c>
    </row>
    <row r="690" spans="1:2" x14ac:dyDescent="0.2">
      <c r="A690" s="4" t="str">
        <f>HYPERLINK("http://cdn.wpsstatic.com/images/full/4ae2-572a75005b29f.jpg", "http://cdn.wpsstatic.com/images/full/4ae2-572a75005b29f.jpg")</f>
        <v>http://cdn.wpsstatic.com/images/full/4ae2-572a75005b29f.jpg</v>
      </c>
      <c r="B690" s="5" t="s">
        <v>690</v>
      </c>
    </row>
    <row r="691" spans="1:2" x14ac:dyDescent="0.2">
      <c r="A691" s="4" t="str">
        <f>HYPERLINK("http://cdn.wpsstatic.com/images/full/4af5-572a55a0ebc36.jpg", "http://cdn.wpsstatic.com/images/full/4af5-572a55a0ebc36.jpg")</f>
        <v>http://cdn.wpsstatic.com/images/full/4af5-572a55a0ebc36.jpg</v>
      </c>
      <c r="B691" s="5" t="s">
        <v>691</v>
      </c>
    </row>
    <row r="692" spans="1:2" x14ac:dyDescent="0.2">
      <c r="A692" s="4" t="str">
        <f>HYPERLINK("http://cdn.wpsstatic.com/images/full/4b14-5ecd3c37cd9e1.jpg", "http://cdn.wpsstatic.com/images/full/4b14-5ecd3c37cd9e1.jpg")</f>
        <v>http://cdn.wpsstatic.com/images/full/4b14-5ecd3c37cd9e1.jpg</v>
      </c>
      <c r="B692" s="5" t="s">
        <v>692</v>
      </c>
    </row>
    <row r="693" spans="1:2" x14ac:dyDescent="0.2">
      <c r="A693" s="4" t="str">
        <f>HYPERLINK("http://cdn.wpsstatic.com/images/full/4b23-5885c23db7494.jpg", "http://cdn.wpsstatic.com/images/full/4b23-5885c23db7494.jpg")</f>
        <v>http://cdn.wpsstatic.com/images/full/4b23-5885c23db7494.jpg</v>
      </c>
      <c r="B693" s="5" t="s">
        <v>693</v>
      </c>
    </row>
    <row r="694" spans="1:2" x14ac:dyDescent="0.2">
      <c r="A694" s="4" t="str">
        <f>HYPERLINK("http://cdn.wpsstatic.com/images/full/4b36-5f57a100a8e7e.jpg", "http://cdn.wpsstatic.com/images/full/4b36-5f57a100a8e7e.jpg")</f>
        <v>http://cdn.wpsstatic.com/images/full/4b36-5f57a100a8e7e.jpg</v>
      </c>
      <c r="B694" s="5" t="s">
        <v>694</v>
      </c>
    </row>
    <row r="695" spans="1:2" x14ac:dyDescent="0.2">
      <c r="A695" s="4" t="str">
        <f>HYPERLINK("http://cdn.wpsstatic.com/images/full/4b38-572a559ebd5c4.jpg", "http://cdn.wpsstatic.com/images/full/4b38-572a559ebd5c4.jpg")</f>
        <v>http://cdn.wpsstatic.com/images/full/4b38-572a559ebd5c4.jpg</v>
      </c>
      <c r="B695" s="5" t="s">
        <v>695</v>
      </c>
    </row>
    <row r="696" spans="1:2" x14ac:dyDescent="0.2">
      <c r="A696" s="4" t="str">
        <f>HYPERLINK("http://cdn.wpsstatic.com/images/full/4b58-572a56372004a.jpg", "http://cdn.wpsstatic.com/images/full/4b58-572a56372004a.jpg")</f>
        <v>http://cdn.wpsstatic.com/images/full/4b58-572a56372004a.jpg</v>
      </c>
      <c r="B696" s="5" t="s">
        <v>696</v>
      </c>
    </row>
    <row r="697" spans="1:2" x14ac:dyDescent="0.2">
      <c r="A697" s="4" t="str">
        <f>HYPERLINK("http://cdn.wpsstatic.com/images/full/4b5f-572a5626b6b5b.jpg", "http://cdn.wpsstatic.com/images/full/4b5f-572a5626b6b5b.jpg")</f>
        <v>http://cdn.wpsstatic.com/images/full/4b5f-572a5626b6b5b.jpg</v>
      </c>
      <c r="B697" s="5" t="s">
        <v>697</v>
      </c>
    </row>
    <row r="698" spans="1:2" x14ac:dyDescent="0.2">
      <c r="A698" s="4" t="str">
        <f>HYPERLINK("http://cdn.wpsstatic.com/images/full/4b84-5d0297a6e5498.jpg", "http://cdn.wpsstatic.com/images/full/4b84-5d0297a6e5498.jpg")</f>
        <v>http://cdn.wpsstatic.com/images/full/4b84-5d0297a6e5498.jpg</v>
      </c>
      <c r="B698" s="5" t="s">
        <v>698</v>
      </c>
    </row>
    <row r="699" spans="1:2" x14ac:dyDescent="0.2">
      <c r="A699" s="4" t="str">
        <f>HYPERLINK("http://cdn.wpsstatic.com/images/full/4b84-63643b294190e.png", "http://cdn.wpsstatic.com/images/full/4b84-63643b294190e.png")</f>
        <v>http://cdn.wpsstatic.com/images/full/4b84-63643b294190e.png</v>
      </c>
      <c r="B699" s="5" t="s">
        <v>699</v>
      </c>
    </row>
    <row r="700" spans="1:2" x14ac:dyDescent="0.2">
      <c r="A700" s="4" t="str">
        <f>HYPERLINK("http://cdn.wpsstatic.com/images/full/4b89-5e31b24c635cc.jpg", "http://cdn.wpsstatic.com/images/full/4b89-5e31b24c635cc.jpg")</f>
        <v>http://cdn.wpsstatic.com/images/full/4b89-5e31b24c635cc.jpg</v>
      </c>
      <c r="B700" s="5" t="s">
        <v>700</v>
      </c>
    </row>
    <row r="701" spans="1:2" x14ac:dyDescent="0.2">
      <c r="A701" s="4" t="str">
        <f>HYPERLINK("http://cdn.wpsstatic.com/images/full/4b94-572a54a57db78.jpg", "http://cdn.wpsstatic.com/images/full/4b94-572a54a57db78.jpg")</f>
        <v>http://cdn.wpsstatic.com/images/full/4b94-572a54a57db78.jpg</v>
      </c>
      <c r="B701" s="5" t="s">
        <v>701</v>
      </c>
    </row>
    <row r="702" spans="1:2" x14ac:dyDescent="0.2">
      <c r="A702" s="4" t="str">
        <f>HYPERLINK("http://cdn.wpsstatic.com/images/full/4bc3-572a5397792eb.jpg", "http://cdn.wpsstatic.com/images/full/4bc3-572a5397792eb.jpg")</f>
        <v>http://cdn.wpsstatic.com/images/full/4bc3-572a5397792eb.jpg</v>
      </c>
      <c r="B702" s="5" t="s">
        <v>702</v>
      </c>
    </row>
    <row r="703" spans="1:2" x14ac:dyDescent="0.2">
      <c r="A703" s="4" t="str">
        <f>HYPERLINK("http://cdn.wpsstatic.com/images/full/4bc9-5f52a952ccd8a.jpg", "http://cdn.wpsstatic.com/images/full/4bc9-5f52a952ccd8a.jpg")</f>
        <v>http://cdn.wpsstatic.com/images/full/4bc9-5f52a952ccd8a.jpg</v>
      </c>
      <c r="B703" s="5" t="s">
        <v>703</v>
      </c>
    </row>
    <row r="704" spans="1:2" x14ac:dyDescent="0.2">
      <c r="A704" s="4" t="str">
        <f>HYPERLINK("http://cdn.wpsstatic.com/images/full/4be1-572a55165d48a.jpg", "http://cdn.wpsstatic.com/images/full/4be1-572a55165d48a.jpg")</f>
        <v>http://cdn.wpsstatic.com/images/full/4be1-572a55165d48a.jpg</v>
      </c>
      <c r="B704" s="5" t="s">
        <v>704</v>
      </c>
    </row>
    <row r="705" spans="1:2" x14ac:dyDescent="0.2">
      <c r="A705" s="4" t="str">
        <f>HYPERLINK("http://cdn.wpsstatic.com/images/full/4bef-572a52ba92aa4.jpg", "http://cdn.wpsstatic.com/images/full/4bef-572a52ba92aa4.jpg")</f>
        <v>http://cdn.wpsstatic.com/images/full/4bef-572a52ba92aa4.jpg</v>
      </c>
      <c r="B705" s="5" t="s">
        <v>705</v>
      </c>
    </row>
    <row r="706" spans="1:2" x14ac:dyDescent="0.2">
      <c r="A706" s="4" t="str">
        <f>HYPERLINK("http://cdn.wpsstatic.com/images/full/4c01-572a750273a8c.jpg", "http://cdn.wpsstatic.com/images/full/4c01-572a750273a8c.jpg")</f>
        <v>http://cdn.wpsstatic.com/images/full/4c01-572a750273a8c.jpg</v>
      </c>
      <c r="B706" s="5" t="s">
        <v>706</v>
      </c>
    </row>
    <row r="707" spans="1:2" x14ac:dyDescent="0.2">
      <c r="A707" s="4" t="str">
        <f>HYPERLINK("http://cdn.wpsstatic.com/images/full/4c19-572a54658e60e.jpg", "http://cdn.wpsstatic.com/images/full/4c19-572a54658e60e.jpg")</f>
        <v>http://cdn.wpsstatic.com/images/full/4c19-572a54658e60e.jpg</v>
      </c>
      <c r="B707" s="5" t="s">
        <v>707</v>
      </c>
    </row>
    <row r="708" spans="1:2" x14ac:dyDescent="0.2">
      <c r="A708" s="4" t="str">
        <f>HYPERLINK("http://cdn.wpsstatic.com/images/full/4c21-572a53b7c355c.jpg", "http://cdn.wpsstatic.com/images/full/4c21-572a53b7c355c.jpg")</f>
        <v>http://cdn.wpsstatic.com/images/full/4c21-572a53b7c355c.jpg</v>
      </c>
      <c r="B708" s="5" t="s">
        <v>708</v>
      </c>
    </row>
    <row r="709" spans="1:2" x14ac:dyDescent="0.2">
      <c r="A709" s="4" t="str">
        <f>HYPERLINK("http://cdn.wpsstatic.com/images/full/4c56-572a529ea93f9.jpg", "http://cdn.wpsstatic.com/images/full/4c56-572a529ea93f9.jpg")</f>
        <v>http://cdn.wpsstatic.com/images/full/4c56-572a529ea93f9.jpg</v>
      </c>
      <c r="B709" s="5" t="s">
        <v>709</v>
      </c>
    </row>
    <row r="710" spans="1:2" x14ac:dyDescent="0.2">
      <c r="A710" s="4" t="str">
        <f>HYPERLINK("http://cdn.wpsstatic.com/images/full/4ca8-572a55ab3d422.jpg", "http://cdn.wpsstatic.com/images/full/4ca8-572a55ab3d422.jpg")</f>
        <v>http://cdn.wpsstatic.com/images/full/4ca8-572a55ab3d422.jpg</v>
      </c>
      <c r="B710" s="5" t="s">
        <v>710</v>
      </c>
    </row>
    <row r="711" spans="1:2" x14ac:dyDescent="0.2">
      <c r="A711" s="4" t="str">
        <f>HYPERLINK("http://cdn.wpsstatic.com/images/full/4cb0-572a552d0451b.jpg", "http://cdn.wpsstatic.com/images/full/4cb0-572a552d0451b.jpg")</f>
        <v>http://cdn.wpsstatic.com/images/full/4cb0-572a552d0451b.jpg</v>
      </c>
      <c r="B711" s="5" t="s">
        <v>711</v>
      </c>
    </row>
    <row r="712" spans="1:2" x14ac:dyDescent="0.2">
      <c r="A712" s="4" t="str">
        <f>HYPERLINK("http://cdn.wpsstatic.com/images/full/4cf9-572a55224a6e8.jpg", "http://cdn.wpsstatic.com/images/full/4cf9-572a55224a6e8.jpg")</f>
        <v>http://cdn.wpsstatic.com/images/full/4cf9-572a55224a6e8.jpg</v>
      </c>
      <c r="B712" s="5" t="s">
        <v>712</v>
      </c>
    </row>
    <row r="713" spans="1:2" x14ac:dyDescent="0.2">
      <c r="A713" s="4" t="str">
        <f>HYPERLINK("http://cdn.wpsstatic.com/images/full/4d3c-572a545bb13ff.jpg", "http://cdn.wpsstatic.com/images/full/4d3c-572a545bb13ff.jpg")</f>
        <v>http://cdn.wpsstatic.com/images/full/4d3c-572a545bb13ff.jpg</v>
      </c>
      <c r="B713" s="5" t="s">
        <v>713</v>
      </c>
    </row>
    <row r="714" spans="1:2" x14ac:dyDescent="0.2">
      <c r="A714" s="4" t="str">
        <f>HYPERLINK("http://cdn.wpsstatic.com/images/full/4d53-5d029b1163863.jpg", "http://cdn.wpsstatic.com/images/full/4d53-5d029b1163863.jpg")</f>
        <v>http://cdn.wpsstatic.com/images/full/4d53-5d029b1163863.jpg</v>
      </c>
      <c r="B714" s="5" t="s">
        <v>714</v>
      </c>
    </row>
    <row r="715" spans="1:2" x14ac:dyDescent="0.2">
      <c r="A715" s="4" t="str">
        <f>HYPERLINK("http://cdn.wpsstatic.com/images/full/4d54-5d029764b30df.jpg", "http://cdn.wpsstatic.com/images/full/4d54-5d029764b30df.jpg")</f>
        <v>http://cdn.wpsstatic.com/images/full/4d54-5d029764b30df.jpg</v>
      </c>
      <c r="B715" s="5" t="s">
        <v>715</v>
      </c>
    </row>
    <row r="716" spans="1:2" x14ac:dyDescent="0.2">
      <c r="A716" s="4" t="str">
        <f>HYPERLINK("http://cdn.wpsstatic.com/images/full/4d8b-572a534660e83.jpg", "http://cdn.wpsstatic.com/images/full/4d8b-572a534660e83.jpg")</f>
        <v>http://cdn.wpsstatic.com/images/full/4d8b-572a534660e83.jpg</v>
      </c>
      <c r="B716" s="5" t="s">
        <v>716</v>
      </c>
    </row>
    <row r="717" spans="1:2" x14ac:dyDescent="0.2">
      <c r="A717" s="4" t="str">
        <f>HYPERLINK("http://cdn.wpsstatic.com/images/full/4d98-572a52a9c4acd.jpg", "http://cdn.wpsstatic.com/images/full/4d98-572a52a9c4acd.jpg")</f>
        <v>http://cdn.wpsstatic.com/images/full/4d98-572a52a9c4acd.jpg</v>
      </c>
      <c r="B717" s="5" t="s">
        <v>717</v>
      </c>
    </row>
    <row r="718" spans="1:2" x14ac:dyDescent="0.2">
      <c r="A718" s="4" t="str">
        <f>HYPERLINK("http://cdn.wpsstatic.com/images/full/4da7-572a5632c6a2f.jpg", "http://cdn.wpsstatic.com/images/full/4da7-572a5632c6a2f.jpg")</f>
        <v>http://cdn.wpsstatic.com/images/full/4da7-572a5632c6a2f.jpg</v>
      </c>
      <c r="B718" s="5" t="s">
        <v>718</v>
      </c>
    </row>
    <row r="719" spans="1:2" x14ac:dyDescent="0.2">
      <c r="A719" s="4" t="str">
        <f>HYPERLINK("http://cdn.wpsstatic.com/images/full/4db4-572a52ab91c61.jpg", "http://cdn.wpsstatic.com/images/full/4db4-572a52ab91c61.jpg")</f>
        <v>http://cdn.wpsstatic.com/images/full/4db4-572a52ab91c61.jpg</v>
      </c>
      <c r="B719" s="5" t="s">
        <v>719</v>
      </c>
    </row>
    <row r="720" spans="1:2" x14ac:dyDescent="0.2">
      <c r="A720" s="4" t="str">
        <f>HYPERLINK("http://cdn.wpsstatic.com/images/full/4dbf-572a550f3933e.jpg", "http://cdn.wpsstatic.com/images/full/4dbf-572a550f3933e.jpg")</f>
        <v>http://cdn.wpsstatic.com/images/full/4dbf-572a550f3933e.jpg</v>
      </c>
      <c r="B720" s="5" t="s">
        <v>720</v>
      </c>
    </row>
    <row r="721" spans="1:2" x14ac:dyDescent="0.2">
      <c r="A721" s="4" t="str">
        <f>HYPERLINK("http://cdn.wpsstatic.com/images/full/4dd6-572a54a7bbb7d.jpg", "http://cdn.wpsstatic.com/images/full/4dd6-572a54a7bbb7d.jpg")</f>
        <v>http://cdn.wpsstatic.com/images/full/4dd6-572a54a7bbb7d.jpg</v>
      </c>
      <c r="B721" s="5" t="s">
        <v>721</v>
      </c>
    </row>
    <row r="722" spans="1:2" x14ac:dyDescent="0.2">
      <c r="A722" s="4" t="str">
        <f>HYPERLINK("http://cdn.wpsstatic.com/images/full/4e40-572a53e8cd465.jpg", "http://cdn.wpsstatic.com/images/full/4e40-572a53e8cd465.jpg")</f>
        <v>http://cdn.wpsstatic.com/images/full/4e40-572a53e8cd465.jpg</v>
      </c>
      <c r="B722" s="5" t="s">
        <v>722</v>
      </c>
    </row>
    <row r="723" spans="1:2" x14ac:dyDescent="0.2">
      <c r="A723" s="4" t="str">
        <f>HYPERLINK("http://cdn.wpsstatic.com/images/full/4e51-572a54a9d6abd.jpg", "http://cdn.wpsstatic.com/images/full/4e51-572a54a9d6abd.jpg")</f>
        <v>http://cdn.wpsstatic.com/images/full/4e51-572a54a9d6abd.jpg</v>
      </c>
      <c r="B723" s="5" t="s">
        <v>723</v>
      </c>
    </row>
    <row r="724" spans="1:2" x14ac:dyDescent="0.2">
      <c r="A724" s="4" t="str">
        <f>HYPERLINK("http://cdn.wpsstatic.com/images/full/4e5b-572a53aba427c.jpg", "http://cdn.wpsstatic.com/images/full/4e5b-572a53aba427c.jpg")</f>
        <v>http://cdn.wpsstatic.com/images/full/4e5b-572a53aba427c.jpg</v>
      </c>
      <c r="B724" s="5" t="s">
        <v>724</v>
      </c>
    </row>
    <row r="725" spans="1:2" x14ac:dyDescent="0.2">
      <c r="A725" s="4" t="str">
        <f>HYPERLINK("http://cdn.wpsstatic.com/images/full/4e67-572a554b07207.jpg", "http://cdn.wpsstatic.com/images/full/4e67-572a554b07207.jpg")</f>
        <v>http://cdn.wpsstatic.com/images/full/4e67-572a554b07207.jpg</v>
      </c>
      <c r="B725" s="5" t="s">
        <v>725</v>
      </c>
    </row>
    <row r="726" spans="1:2" x14ac:dyDescent="0.2">
      <c r="A726" s="4" t="str">
        <f>HYPERLINK("http://cdn.wpsstatic.com/images/full/4e94-572a545580067.jpg", "http://cdn.wpsstatic.com/images/full/4e94-572a545580067.jpg")</f>
        <v>http://cdn.wpsstatic.com/images/full/4e94-572a545580067.jpg</v>
      </c>
      <c r="B726" s="5" t="s">
        <v>726</v>
      </c>
    </row>
    <row r="727" spans="1:2" x14ac:dyDescent="0.2">
      <c r="A727" s="4" t="str">
        <f>HYPERLINK("http://cdn.wpsstatic.com/images/full/4eb2-5d029b61356e5.jpg", "http://cdn.wpsstatic.com/images/full/4eb2-5d029b61356e5.jpg")</f>
        <v>http://cdn.wpsstatic.com/images/full/4eb2-5d029b61356e5.jpg</v>
      </c>
      <c r="B727" s="5" t="s">
        <v>727</v>
      </c>
    </row>
    <row r="728" spans="1:2" x14ac:dyDescent="0.2">
      <c r="A728" s="4" t="str">
        <f>HYPERLINK("http://cdn.wpsstatic.com/images/full/4eea-572a5648c5079.jpg", "http://cdn.wpsstatic.com/images/full/4eea-572a5648c5079.jpg")</f>
        <v>http://cdn.wpsstatic.com/images/full/4eea-572a5648c5079.jpg</v>
      </c>
      <c r="B728" s="5" t="s">
        <v>728</v>
      </c>
    </row>
    <row r="729" spans="1:2" x14ac:dyDescent="0.2">
      <c r="A729" s="4" t="str">
        <f>HYPERLINK("http://cdn.wpsstatic.com/images/full/4eec-572a54b7d3fea.jpg", "http://cdn.wpsstatic.com/images/full/4eec-572a54b7d3fea.jpg")</f>
        <v>http://cdn.wpsstatic.com/images/full/4eec-572a54b7d3fea.jpg</v>
      </c>
      <c r="B729" s="5" t="s">
        <v>729</v>
      </c>
    </row>
    <row r="730" spans="1:2" x14ac:dyDescent="0.2">
      <c r="A730" s="4" t="str">
        <f>HYPERLINK("http://cdn.wpsstatic.com/images/full/4f4b-5f57bcda7bab1.jpg", "http://cdn.wpsstatic.com/images/full/4f4b-5f57bcda7bab1.jpg")</f>
        <v>http://cdn.wpsstatic.com/images/full/4f4b-5f57bcda7bab1.jpg</v>
      </c>
      <c r="B730" s="5" t="s">
        <v>730</v>
      </c>
    </row>
    <row r="731" spans="1:2" x14ac:dyDescent="0.2">
      <c r="A731" s="4" t="str">
        <f>HYPERLINK("http://cdn.wpsstatic.com/images/full/4f4e-60c11ceb851a6.png", "http://cdn.wpsstatic.com/images/full/4f4e-60c11ceb851a6.png")</f>
        <v>http://cdn.wpsstatic.com/images/full/4f4e-60c11ceb851a6.png</v>
      </c>
      <c r="B731" s="5" t="s">
        <v>731</v>
      </c>
    </row>
    <row r="732" spans="1:2" x14ac:dyDescent="0.2">
      <c r="A732" s="4" t="str">
        <f>HYPERLINK("http://cdn.wpsstatic.com/images/full/4f69-5f5798a252869.jpg", "http://cdn.wpsstatic.com/images/full/4f69-5f5798a252869.jpg")</f>
        <v>http://cdn.wpsstatic.com/images/full/4f69-5f5798a252869.jpg</v>
      </c>
      <c r="B732" s="5" t="s">
        <v>732</v>
      </c>
    </row>
    <row r="733" spans="1:2" x14ac:dyDescent="0.2">
      <c r="A733" s="4" t="str">
        <f>HYPERLINK("http://cdn.wpsstatic.com/images/full/4f6e-5885c1c5ee3de.jpg", "http://cdn.wpsstatic.com/images/full/4f6e-5885c1c5ee3de.jpg")</f>
        <v>http://cdn.wpsstatic.com/images/full/4f6e-5885c1c5ee3de.jpg</v>
      </c>
      <c r="B733" s="5" t="s">
        <v>733</v>
      </c>
    </row>
    <row r="734" spans="1:2" x14ac:dyDescent="0.2">
      <c r="A734" s="4" t="str">
        <f>HYPERLINK("http://cdn.wpsstatic.com/images/full/4f77-572a5498ac1d2.jpg", "http://cdn.wpsstatic.com/images/full/4f77-572a5498ac1d2.jpg")</f>
        <v>http://cdn.wpsstatic.com/images/full/4f77-572a5498ac1d2.jpg</v>
      </c>
      <c r="B734" s="5" t="s">
        <v>734</v>
      </c>
    </row>
    <row r="735" spans="1:2" x14ac:dyDescent="0.2">
      <c r="A735" s="4" t="str">
        <f>HYPERLINK("http://cdn.wpsstatic.com/images/full/4f89-572a551aba772.jpg", "http://cdn.wpsstatic.com/images/full/4f89-572a551aba772.jpg")</f>
        <v>http://cdn.wpsstatic.com/images/full/4f89-572a551aba772.jpg</v>
      </c>
      <c r="B735" s="5" t="s">
        <v>735</v>
      </c>
    </row>
    <row r="736" spans="1:2" x14ac:dyDescent="0.2">
      <c r="A736" s="4" t="str">
        <f>HYPERLINK("http://cdn.wpsstatic.com/images/full/4fa0-572a533b5e1bb.jpg", "http://cdn.wpsstatic.com/images/full/4fa0-572a533b5e1bb.jpg")</f>
        <v>http://cdn.wpsstatic.com/images/full/4fa0-572a533b5e1bb.jpg</v>
      </c>
      <c r="B736" s="5" t="s">
        <v>736</v>
      </c>
    </row>
    <row r="737" spans="1:2" x14ac:dyDescent="0.2">
      <c r="A737" s="4" t="str">
        <f>HYPERLINK("http://cdn.wpsstatic.com/images/full/4fc7-5d16849fcbac6.jpg", "http://cdn.wpsstatic.com/images/full/4fc7-5d16849fcbac6.jpg")</f>
        <v>http://cdn.wpsstatic.com/images/full/4fc7-5d16849fcbac6.jpg</v>
      </c>
      <c r="B737" s="5" t="s">
        <v>737</v>
      </c>
    </row>
    <row r="738" spans="1:2" x14ac:dyDescent="0.2">
      <c r="A738" s="4" t="str">
        <f>HYPERLINK("http://cdn.wpsstatic.com/images/full/4fc7-5f52a78e9c1e2.jpg", "http://cdn.wpsstatic.com/images/full/4fc7-5f52a78e9c1e2.jpg")</f>
        <v>http://cdn.wpsstatic.com/images/full/4fc7-5f52a78e9c1e2.jpg</v>
      </c>
      <c r="B738" s="5" t="s">
        <v>738</v>
      </c>
    </row>
    <row r="739" spans="1:2" x14ac:dyDescent="0.2">
      <c r="A739" s="4" t="str">
        <f>HYPERLINK("http://cdn.wpsstatic.com/images/full/4fd0-572a5338c09ab.jpg", "http://cdn.wpsstatic.com/images/full/4fd0-572a5338c09ab.jpg")</f>
        <v>http://cdn.wpsstatic.com/images/full/4fd0-572a5338c09ab.jpg</v>
      </c>
      <c r="B739" s="5" t="s">
        <v>739</v>
      </c>
    </row>
    <row r="740" spans="1:2" x14ac:dyDescent="0.2">
      <c r="A740" s="4" t="str">
        <f>HYPERLINK("http://cdn.wpsstatic.com/images/full/5024-572a5396f05f0.jpg", "http://cdn.wpsstatic.com/images/full/5024-572a5396f05f0.jpg")</f>
        <v>http://cdn.wpsstatic.com/images/full/5024-572a5396f05f0.jpg</v>
      </c>
      <c r="B740" s="5" t="s">
        <v>740</v>
      </c>
    </row>
    <row r="741" spans="1:2" x14ac:dyDescent="0.2">
      <c r="A741" s="4" t="str">
        <f>HYPERLINK("http://cdn.wpsstatic.com/images/full/5026-5fb44ba27a4c2.jpg", "http://cdn.wpsstatic.com/images/full/5026-5fb44ba27a4c2.jpg")</f>
        <v>http://cdn.wpsstatic.com/images/full/5026-5fb44ba27a4c2.jpg</v>
      </c>
      <c r="B741" s="5" t="s">
        <v>741</v>
      </c>
    </row>
    <row r="742" spans="1:2" x14ac:dyDescent="0.2">
      <c r="A742" s="4" t="str">
        <f>HYPERLINK("http://cdn.wpsstatic.com/images/full/509f-572a527e70c23.jpg", "http://cdn.wpsstatic.com/images/full/509f-572a527e70c23.jpg")</f>
        <v>http://cdn.wpsstatic.com/images/full/509f-572a527e70c23.jpg</v>
      </c>
      <c r="B742" s="5" t="s">
        <v>742</v>
      </c>
    </row>
    <row r="743" spans="1:2" x14ac:dyDescent="0.2">
      <c r="A743" s="4" t="str">
        <f>HYPERLINK("http://cdn.wpsstatic.com/images/full/50b6-572a547b5c223.jpg", "http://cdn.wpsstatic.com/images/full/50b6-572a547b5c223.jpg")</f>
        <v>http://cdn.wpsstatic.com/images/full/50b6-572a547b5c223.jpg</v>
      </c>
      <c r="B743" s="5" t="s">
        <v>743</v>
      </c>
    </row>
    <row r="744" spans="1:2" x14ac:dyDescent="0.2">
      <c r="A744" s="4" t="str">
        <f>HYPERLINK("http://cdn.wpsstatic.com/images/full/50d1-572a53f2f3971.jpg", "http://cdn.wpsstatic.com/images/full/50d1-572a53f2f3971.jpg")</f>
        <v>http://cdn.wpsstatic.com/images/full/50d1-572a53f2f3971.jpg</v>
      </c>
      <c r="B744" s="5" t="s">
        <v>744</v>
      </c>
    </row>
    <row r="745" spans="1:2" x14ac:dyDescent="0.2">
      <c r="A745" s="4" t="str">
        <f>HYPERLINK("http://cdn.wpsstatic.com/images/full/5102-5885c2671b29a.jpg", "http://cdn.wpsstatic.com/images/full/5102-5885c2671b29a.jpg")</f>
        <v>http://cdn.wpsstatic.com/images/full/5102-5885c2671b29a.jpg</v>
      </c>
      <c r="B745" s="5" t="s">
        <v>745</v>
      </c>
    </row>
    <row r="746" spans="1:2" x14ac:dyDescent="0.2">
      <c r="A746" s="4" t="str">
        <f>HYPERLINK("http://cdn.wpsstatic.com/images/full/5112-572a53bb34bdb.jpg", "http://cdn.wpsstatic.com/images/full/5112-572a53bb34bdb.jpg")</f>
        <v>http://cdn.wpsstatic.com/images/full/5112-572a53bb34bdb.jpg</v>
      </c>
      <c r="B746" s="5" t="s">
        <v>746</v>
      </c>
    </row>
    <row r="747" spans="1:2" x14ac:dyDescent="0.2">
      <c r="A747" s="4" t="str">
        <f>HYPERLINK("http://cdn.wpsstatic.com/images/full/511b-572a556d13e7a.jpg", "http://cdn.wpsstatic.com/images/full/511b-572a556d13e7a.jpg")</f>
        <v>http://cdn.wpsstatic.com/images/full/511b-572a556d13e7a.jpg</v>
      </c>
      <c r="B747" s="5" t="s">
        <v>747</v>
      </c>
    </row>
    <row r="748" spans="1:2" x14ac:dyDescent="0.2">
      <c r="A748" s="4" t="str">
        <f>HYPERLINK("http://cdn.wpsstatic.com/images/full/5120-572a527c5ce23.jpg", "http://cdn.wpsstatic.com/images/full/5120-572a527c5ce23.jpg")</f>
        <v>http://cdn.wpsstatic.com/images/full/5120-572a527c5ce23.jpg</v>
      </c>
      <c r="B748" s="5" t="s">
        <v>748</v>
      </c>
    </row>
    <row r="749" spans="1:2" x14ac:dyDescent="0.2">
      <c r="A749" s="4" t="str">
        <f>HYPERLINK("http://cdn.wpsstatic.com/images/full/5121-572a5472aa5f3.jpg", "http://cdn.wpsstatic.com/images/full/5121-572a5472aa5f3.jpg")</f>
        <v>http://cdn.wpsstatic.com/images/full/5121-572a5472aa5f3.jpg</v>
      </c>
      <c r="B749" s="5" t="s">
        <v>749</v>
      </c>
    </row>
    <row r="750" spans="1:2" x14ac:dyDescent="0.2">
      <c r="A750" s="4" t="str">
        <f>HYPERLINK("http://cdn.wpsstatic.com/images/full/5135-5d028d36c777b.jpg", "http://cdn.wpsstatic.com/images/full/5135-5d028d36c777b.jpg")</f>
        <v>http://cdn.wpsstatic.com/images/full/5135-5d028d36c777b.jpg</v>
      </c>
      <c r="B750" s="5" t="s">
        <v>750</v>
      </c>
    </row>
    <row r="751" spans="1:2" x14ac:dyDescent="0.2">
      <c r="A751" s="4" t="str">
        <f>HYPERLINK("http://cdn.wpsstatic.com/images/full/5144-611d644af1f65.jpeg", "http://cdn.wpsstatic.com/images/full/5144-611d644af1f65.jpeg")</f>
        <v>http://cdn.wpsstatic.com/images/full/5144-611d644af1f65.jpeg</v>
      </c>
      <c r="B751" s="5" t="s">
        <v>751</v>
      </c>
    </row>
    <row r="752" spans="1:2" x14ac:dyDescent="0.2">
      <c r="A752" s="4" t="str">
        <f>HYPERLINK("http://cdn.wpsstatic.com/images/full/5154-572a552628ab3.jpg", "http://cdn.wpsstatic.com/images/full/5154-572a552628ab3.jpg")</f>
        <v>http://cdn.wpsstatic.com/images/full/5154-572a552628ab3.jpg</v>
      </c>
      <c r="B752" s="5" t="s">
        <v>752</v>
      </c>
    </row>
    <row r="753" spans="1:2" x14ac:dyDescent="0.2">
      <c r="A753" s="4" t="str">
        <f>HYPERLINK("http://cdn.wpsstatic.com/images/full/51ba-572a53f7f1653.jpg", "http://cdn.wpsstatic.com/images/full/51ba-572a53f7f1653.jpg")</f>
        <v>http://cdn.wpsstatic.com/images/full/51ba-572a53f7f1653.jpg</v>
      </c>
      <c r="B753" s="5" t="s">
        <v>753</v>
      </c>
    </row>
    <row r="754" spans="1:2" x14ac:dyDescent="0.2">
      <c r="A754" s="4" t="str">
        <f>HYPERLINK("http://cdn.wpsstatic.com/images/full/51d6-572a562c7eac5.jpg", "http://cdn.wpsstatic.com/images/full/51d6-572a562c7eac5.jpg")</f>
        <v>http://cdn.wpsstatic.com/images/full/51d6-572a562c7eac5.jpg</v>
      </c>
      <c r="B754" s="5" t="s">
        <v>754</v>
      </c>
    </row>
    <row r="755" spans="1:2" x14ac:dyDescent="0.2">
      <c r="A755" s="4" t="str">
        <f>HYPERLINK("http://cdn.wpsstatic.com/images/full/51da-572a53317f665.jpg", "http://cdn.wpsstatic.com/images/full/51da-572a53317f665.jpg")</f>
        <v>http://cdn.wpsstatic.com/images/full/51da-572a53317f665.jpg</v>
      </c>
      <c r="B755" s="5" t="s">
        <v>755</v>
      </c>
    </row>
    <row r="756" spans="1:2" x14ac:dyDescent="0.2">
      <c r="A756" s="4" t="str">
        <f>HYPERLINK("http://cdn.wpsstatic.com/images/full/51e1-572a5417acb20.jpg", "http://cdn.wpsstatic.com/images/full/51e1-572a5417acb20.jpg")</f>
        <v>http://cdn.wpsstatic.com/images/full/51e1-572a5417acb20.jpg</v>
      </c>
      <c r="B756" s="5" t="s">
        <v>756</v>
      </c>
    </row>
    <row r="757" spans="1:2" x14ac:dyDescent="0.2">
      <c r="A757" s="4" t="str">
        <f>HYPERLINK("http://cdn.wpsstatic.com/images/full/51eb-572a5476b18fc.jpg", "http://cdn.wpsstatic.com/images/full/51eb-572a5476b18fc.jpg")</f>
        <v>http://cdn.wpsstatic.com/images/full/51eb-572a5476b18fc.jpg</v>
      </c>
      <c r="B757" s="5" t="s">
        <v>757</v>
      </c>
    </row>
    <row r="758" spans="1:2" x14ac:dyDescent="0.2">
      <c r="A758" s="4" t="str">
        <f>HYPERLINK("http://cdn.wpsstatic.com/images/full/51fa-5f57b71ff3706.jpg", "http://cdn.wpsstatic.com/images/full/51fa-5f57b71ff3706.jpg")</f>
        <v>http://cdn.wpsstatic.com/images/full/51fa-5f57b71ff3706.jpg</v>
      </c>
      <c r="B758" s="5" t="s">
        <v>758</v>
      </c>
    </row>
    <row r="759" spans="1:2" x14ac:dyDescent="0.2">
      <c r="A759" s="4" t="str">
        <f>HYPERLINK("http://cdn.wpsstatic.com/images/full/524b-572a53af85719.jpg", "http://cdn.wpsstatic.com/images/full/524b-572a53af85719.jpg")</f>
        <v>http://cdn.wpsstatic.com/images/full/524b-572a53af85719.jpg</v>
      </c>
      <c r="B759" s="5" t="s">
        <v>759</v>
      </c>
    </row>
    <row r="760" spans="1:2" x14ac:dyDescent="0.2">
      <c r="A760" s="4" t="str">
        <f>HYPERLINK("http://cdn.wpsstatic.com/images/full/525c-572a52c2d4f72.jpg", "http://cdn.wpsstatic.com/images/full/525c-572a52c2d4f72.jpg")</f>
        <v>http://cdn.wpsstatic.com/images/full/525c-572a52c2d4f72.jpg</v>
      </c>
      <c r="B760" s="5" t="s">
        <v>760</v>
      </c>
    </row>
    <row r="761" spans="1:2" x14ac:dyDescent="0.2">
      <c r="A761" s="4" t="str">
        <f>HYPERLINK("http://cdn.wpsstatic.com/images/full/5294-5d0293c89f839.jpg", "http://cdn.wpsstatic.com/images/full/5294-5d0293c89f839.jpg")</f>
        <v>http://cdn.wpsstatic.com/images/full/5294-5d0293c89f839.jpg</v>
      </c>
      <c r="B761" s="5" t="s">
        <v>761</v>
      </c>
    </row>
    <row r="762" spans="1:2" x14ac:dyDescent="0.2">
      <c r="A762" s="4" t="str">
        <f>HYPERLINK("http://cdn.wpsstatic.com/images/full/5295-572a74fde9cc4.jpg", "http://cdn.wpsstatic.com/images/full/5295-572a74fde9cc4.jpg")</f>
        <v>http://cdn.wpsstatic.com/images/full/5295-572a74fde9cc4.jpg</v>
      </c>
      <c r="B762" s="5" t="s">
        <v>762</v>
      </c>
    </row>
    <row r="763" spans="1:2" x14ac:dyDescent="0.2">
      <c r="A763" s="4" t="str">
        <f>HYPERLINK("http://cdn.wpsstatic.com/images/full/52a4-572a5539cabb9.jpg", "http://cdn.wpsstatic.com/images/full/52a4-572a5539cabb9.jpg")</f>
        <v>http://cdn.wpsstatic.com/images/full/52a4-572a5539cabb9.jpg</v>
      </c>
      <c r="B763" s="5" t="s">
        <v>763</v>
      </c>
    </row>
    <row r="764" spans="1:2" x14ac:dyDescent="0.2">
      <c r="A764" s="4" t="str">
        <f>HYPERLINK("http://cdn.wpsstatic.com/images/full/52b6-660426a45cbd2.png", "http://cdn.wpsstatic.com/images/full/52b6-660426a45cbd2.png")</f>
        <v>http://cdn.wpsstatic.com/images/full/52b6-660426a45cbd2.png</v>
      </c>
      <c r="B764" s="5" t="s">
        <v>764</v>
      </c>
    </row>
    <row r="765" spans="1:2" x14ac:dyDescent="0.2">
      <c r="A765" s="4" t="str">
        <f>HYPERLINK("http://cdn.wpsstatic.com/images/full/52c6-572a556e1e3a5.jpg", "http://cdn.wpsstatic.com/images/full/52c6-572a556e1e3a5.jpg")</f>
        <v>http://cdn.wpsstatic.com/images/full/52c6-572a556e1e3a5.jpg</v>
      </c>
      <c r="B765" s="5" t="s">
        <v>765</v>
      </c>
    </row>
    <row r="766" spans="1:2" x14ac:dyDescent="0.2">
      <c r="A766" s="4" t="str">
        <f>HYPERLINK("http://cdn.wpsstatic.com/images/full/5332-572a5543754d5.jpg", "http://cdn.wpsstatic.com/images/full/5332-572a5543754d5.jpg")</f>
        <v>http://cdn.wpsstatic.com/images/full/5332-572a5543754d5.jpg</v>
      </c>
      <c r="B766" s="5" t="s">
        <v>766</v>
      </c>
    </row>
    <row r="767" spans="1:2" x14ac:dyDescent="0.2">
      <c r="A767" s="4" t="str">
        <f>HYPERLINK("http://cdn.wpsstatic.com/images/full/5353-572a53c03557f.jpg", "http://cdn.wpsstatic.com/images/full/5353-572a53c03557f.jpg")</f>
        <v>http://cdn.wpsstatic.com/images/full/5353-572a53c03557f.jpg</v>
      </c>
      <c r="B767" s="5" t="s">
        <v>767</v>
      </c>
    </row>
    <row r="768" spans="1:2" x14ac:dyDescent="0.2">
      <c r="A768" s="4" t="str">
        <f>HYPERLINK("http://cdn.wpsstatic.com/images/full/5367-572a527de0119.jpg", "http://cdn.wpsstatic.com/images/full/5367-572a527de0119.jpg")</f>
        <v>http://cdn.wpsstatic.com/images/full/5367-572a527de0119.jpg</v>
      </c>
      <c r="B768" s="5" t="s">
        <v>768</v>
      </c>
    </row>
    <row r="769" spans="1:2" x14ac:dyDescent="0.2">
      <c r="A769" s="4" t="str">
        <f>HYPERLINK("http://cdn.wpsstatic.com/images/full/5391-572a5351ae5fb.jpg", "http://cdn.wpsstatic.com/images/full/5391-572a5351ae5fb.jpg")</f>
        <v>http://cdn.wpsstatic.com/images/full/5391-572a5351ae5fb.jpg</v>
      </c>
      <c r="B769" s="5" t="s">
        <v>769</v>
      </c>
    </row>
    <row r="770" spans="1:2" x14ac:dyDescent="0.2">
      <c r="A770" s="4" t="str">
        <f>HYPERLINK("http://cdn.wpsstatic.com/images/full/53a2-572a53ef3699f.jpg", "http://cdn.wpsstatic.com/images/full/53a2-572a53ef3699f.jpg")</f>
        <v>http://cdn.wpsstatic.com/images/full/53a2-572a53ef3699f.jpg</v>
      </c>
      <c r="B770" s="5" t="s">
        <v>770</v>
      </c>
    </row>
    <row r="771" spans="1:2" x14ac:dyDescent="0.2">
      <c r="A771" s="4" t="str">
        <f>HYPERLINK("http://cdn.wpsstatic.com/images/full/53c8-5f578813330ca.jpg", "http://cdn.wpsstatic.com/images/full/53c8-5f578813330ca.jpg")</f>
        <v>http://cdn.wpsstatic.com/images/full/53c8-5f578813330ca.jpg</v>
      </c>
      <c r="B771" s="5" t="s">
        <v>771</v>
      </c>
    </row>
    <row r="772" spans="1:2" x14ac:dyDescent="0.2">
      <c r="A772" s="4" t="str">
        <f>HYPERLINK("http://cdn.wpsstatic.com/images/full/53e8-572a52629f02e.jpg", "http://cdn.wpsstatic.com/images/full/53e8-572a52629f02e.jpg")</f>
        <v>http://cdn.wpsstatic.com/images/full/53e8-572a52629f02e.jpg</v>
      </c>
      <c r="B772" s="5" t="s">
        <v>772</v>
      </c>
    </row>
    <row r="773" spans="1:2" x14ac:dyDescent="0.2">
      <c r="A773" s="4" t="str">
        <f>HYPERLINK("http://cdn.wpsstatic.com/images/full/540b-572a54f527463.jpg", "http://cdn.wpsstatic.com/images/full/540b-572a54f527463.jpg")</f>
        <v>http://cdn.wpsstatic.com/images/full/540b-572a54f527463.jpg</v>
      </c>
      <c r="B773" s="5" t="s">
        <v>773</v>
      </c>
    </row>
    <row r="774" spans="1:2" x14ac:dyDescent="0.2">
      <c r="A774" s="4" t="str">
        <f>HYPERLINK("http://cdn.wpsstatic.com/images/full/5413-572a548cb7e88.jpg", "http://cdn.wpsstatic.com/images/full/5413-572a548cb7e88.jpg")</f>
        <v>http://cdn.wpsstatic.com/images/full/5413-572a548cb7e88.jpg</v>
      </c>
      <c r="B774" s="5" t="s">
        <v>774</v>
      </c>
    </row>
    <row r="775" spans="1:2" x14ac:dyDescent="0.2">
      <c r="A775" s="4" t="str">
        <f>HYPERLINK("http://cdn.wpsstatic.com/images/full/546e-5d029e48183b5.jpg", "http://cdn.wpsstatic.com/images/full/546e-5d029e48183b5.jpg")</f>
        <v>http://cdn.wpsstatic.com/images/full/546e-5d029e48183b5.jpg</v>
      </c>
      <c r="B775" s="5" t="s">
        <v>775</v>
      </c>
    </row>
    <row r="776" spans="1:2" x14ac:dyDescent="0.2">
      <c r="A776" s="4" t="str">
        <f>HYPERLINK("http://cdn.wpsstatic.com/images/full/549f-572a54da0eef8.jpg", "http://cdn.wpsstatic.com/images/full/549f-572a54da0eef8.jpg")</f>
        <v>http://cdn.wpsstatic.com/images/full/549f-572a54da0eef8.jpg</v>
      </c>
      <c r="B776" s="5" t="s">
        <v>776</v>
      </c>
    </row>
    <row r="777" spans="1:2" x14ac:dyDescent="0.2">
      <c r="A777" s="4" t="str">
        <f>HYPERLINK("http://cdn.wpsstatic.com/images/full/54e4-572a559a4690b.jpg", "http://cdn.wpsstatic.com/images/full/54e4-572a559a4690b.jpg")</f>
        <v>http://cdn.wpsstatic.com/images/full/54e4-572a559a4690b.jpg</v>
      </c>
      <c r="B777" s="5" t="s">
        <v>777</v>
      </c>
    </row>
    <row r="778" spans="1:2" x14ac:dyDescent="0.2">
      <c r="A778" s="4" t="str">
        <f>HYPERLINK("http://cdn.wpsstatic.com/images/full/54e6-572a545b7234e.jpg", "http://cdn.wpsstatic.com/images/full/54e6-572a545b7234e.jpg")</f>
        <v>http://cdn.wpsstatic.com/images/full/54e6-572a545b7234e.jpg</v>
      </c>
      <c r="B778" s="5" t="s">
        <v>778</v>
      </c>
    </row>
    <row r="779" spans="1:2" x14ac:dyDescent="0.2">
      <c r="A779" s="4" t="str">
        <f>HYPERLINK("http://cdn.wpsstatic.com/images/full/54e9-5fb456a8214de.jpg", "http://cdn.wpsstatic.com/images/full/54e9-5fb456a8214de.jpg")</f>
        <v>http://cdn.wpsstatic.com/images/full/54e9-5fb456a8214de.jpg</v>
      </c>
      <c r="B779" s="5" t="s">
        <v>779</v>
      </c>
    </row>
    <row r="780" spans="1:2" x14ac:dyDescent="0.2">
      <c r="A780" s="4" t="str">
        <f>HYPERLINK("http://cdn.wpsstatic.com/images/full/5501-572a53037654c.jpg", "http://cdn.wpsstatic.com/images/full/5501-572a53037654c.jpg")</f>
        <v>http://cdn.wpsstatic.com/images/full/5501-572a53037654c.jpg</v>
      </c>
      <c r="B780" s="5" t="s">
        <v>780</v>
      </c>
    </row>
    <row r="781" spans="1:2" x14ac:dyDescent="0.2">
      <c r="A781" s="4" t="str">
        <f>HYPERLINK("http://cdn.wpsstatic.com/images/full/550e-572a53a67bbe2.jpg", "http://cdn.wpsstatic.com/images/full/550e-572a53a67bbe2.jpg")</f>
        <v>http://cdn.wpsstatic.com/images/full/550e-572a53a67bbe2.jpg</v>
      </c>
      <c r="B781" s="5" t="s">
        <v>781</v>
      </c>
    </row>
    <row r="782" spans="1:2" x14ac:dyDescent="0.2">
      <c r="A782" s="4" t="str">
        <f>HYPERLINK("http://cdn.wpsstatic.com/images/full/5540-572a55082bbc7.jpg", "http://cdn.wpsstatic.com/images/full/5540-572a55082bbc7.jpg")</f>
        <v>http://cdn.wpsstatic.com/images/full/5540-572a55082bbc7.jpg</v>
      </c>
      <c r="B782" s="5" t="s">
        <v>782</v>
      </c>
    </row>
    <row r="783" spans="1:2" x14ac:dyDescent="0.2">
      <c r="A783" s="4" t="str">
        <f>HYPERLINK("http://cdn.wpsstatic.com/images/full/5554-572a53ab2b499.jpg", "http://cdn.wpsstatic.com/images/full/5554-572a53ab2b499.jpg")</f>
        <v>http://cdn.wpsstatic.com/images/full/5554-572a53ab2b499.jpg</v>
      </c>
      <c r="B783" s="5" t="s">
        <v>783</v>
      </c>
    </row>
    <row r="784" spans="1:2" x14ac:dyDescent="0.2">
      <c r="A784" s="4" t="str">
        <f>HYPERLINK("http://cdn.wpsstatic.com/images/full/556f-5885c20b1fe77.jpg", "http://cdn.wpsstatic.com/images/full/556f-5885c20b1fe77.jpg")</f>
        <v>http://cdn.wpsstatic.com/images/full/556f-5885c20b1fe77.jpg</v>
      </c>
      <c r="B784" s="5" t="s">
        <v>784</v>
      </c>
    </row>
    <row r="785" spans="1:2" x14ac:dyDescent="0.2">
      <c r="A785" s="4" t="str">
        <f>HYPERLINK("http://cdn.wpsstatic.com/images/full/559c-572a531562905.jpg", "http://cdn.wpsstatic.com/images/full/559c-572a531562905.jpg")</f>
        <v>http://cdn.wpsstatic.com/images/full/559c-572a531562905.jpg</v>
      </c>
      <c r="B785" s="5" t="s">
        <v>785</v>
      </c>
    </row>
    <row r="786" spans="1:2" x14ac:dyDescent="0.2">
      <c r="A786" s="4" t="str">
        <f>HYPERLINK("http://cdn.wpsstatic.com/images/full/559e-5885c29baed4f.jpg", "http://cdn.wpsstatic.com/images/full/559e-5885c29baed4f.jpg")</f>
        <v>http://cdn.wpsstatic.com/images/full/559e-5885c29baed4f.jpg</v>
      </c>
      <c r="B786" s="5" t="s">
        <v>786</v>
      </c>
    </row>
    <row r="787" spans="1:2" x14ac:dyDescent="0.2">
      <c r="A787" s="4" t="str">
        <f>HYPERLINK("http://cdn.wpsstatic.com/images/full/55ce-572a54184a5eb.jpg", "http://cdn.wpsstatic.com/images/full/55ce-572a54184a5eb.jpg")</f>
        <v>http://cdn.wpsstatic.com/images/full/55ce-572a54184a5eb.jpg</v>
      </c>
      <c r="B787" s="5" t="s">
        <v>787</v>
      </c>
    </row>
    <row r="788" spans="1:2" x14ac:dyDescent="0.2">
      <c r="A788" s="4" t="str">
        <f>HYPERLINK("http://cdn.wpsstatic.com/images/full/55e3-572a549d410c5.jpg", "http://cdn.wpsstatic.com/images/full/55e3-572a549d410c5.jpg")</f>
        <v>http://cdn.wpsstatic.com/images/full/55e3-572a549d410c5.jpg</v>
      </c>
      <c r="B788" s="5" t="s">
        <v>788</v>
      </c>
    </row>
    <row r="789" spans="1:2" x14ac:dyDescent="0.2">
      <c r="A789" s="4" t="str">
        <f>HYPERLINK("http://cdn.wpsstatic.com/images/full/55f2-572a54bc6da58.jpg", "http://cdn.wpsstatic.com/images/full/55f2-572a54bc6da58.jpg")</f>
        <v>http://cdn.wpsstatic.com/images/full/55f2-572a54bc6da58.jpg</v>
      </c>
      <c r="B789" s="5" t="s">
        <v>789</v>
      </c>
    </row>
    <row r="790" spans="1:2" x14ac:dyDescent="0.2">
      <c r="A790" s="4" t="str">
        <f>HYPERLINK("http://cdn.wpsstatic.com/images/full/5643-572a54378c615.jpg", "http://cdn.wpsstatic.com/images/full/5643-572a54378c615.jpg")</f>
        <v>http://cdn.wpsstatic.com/images/full/5643-572a54378c615.jpg</v>
      </c>
      <c r="B790" s="5" t="s">
        <v>790</v>
      </c>
    </row>
    <row r="791" spans="1:2" x14ac:dyDescent="0.2">
      <c r="A791" s="4" t="str">
        <f>HYPERLINK("http://cdn.wpsstatic.com/images/full/5653-61041b66d5e6a.png", "http://cdn.wpsstatic.com/images/full/5653-61041b66d5e6a.png")</f>
        <v>http://cdn.wpsstatic.com/images/full/5653-61041b66d5e6a.png</v>
      </c>
      <c r="B791" s="5" t="s">
        <v>791</v>
      </c>
    </row>
    <row r="792" spans="1:2" x14ac:dyDescent="0.2">
      <c r="A792" s="4" t="str">
        <f>HYPERLINK("http://cdn.wpsstatic.com/images/full/5657-572a5419cff89.jpg", "http://cdn.wpsstatic.com/images/full/5657-572a5419cff89.jpg")</f>
        <v>http://cdn.wpsstatic.com/images/full/5657-572a5419cff89.jpg</v>
      </c>
      <c r="B792" s="5" t="s">
        <v>792</v>
      </c>
    </row>
    <row r="793" spans="1:2" x14ac:dyDescent="0.2">
      <c r="A793" s="4" t="str">
        <f>HYPERLINK("http://cdn.wpsstatic.com/images/full/565b-572a5491089ba.jpg", "http://cdn.wpsstatic.com/images/full/565b-572a5491089ba.jpg")</f>
        <v>http://cdn.wpsstatic.com/images/full/565b-572a5491089ba.jpg</v>
      </c>
      <c r="B793" s="5" t="s">
        <v>793</v>
      </c>
    </row>
    <row r="794" spans="1:2" x14ac:dyDescent="0.2">
      <c r="A794" s="4" t="str">
        <f>HYPERLINK("http://cdn.wpsstatic.com/images/full/565e-572a54312e18a.jpg", "http://cdn.wpsstatic.com/images/full/565e-572a54312e18a.jpg")</f>
        <v>http://cdn.wpsstatic.com/images/full/565e-572a54312e18a.jpg</v>
      </c>
      <c r="B794" s="5" t="s">
        <v>794</v>
      </c>
    </row>
    <row r="795" spans="1:2" x14ac:dyDescent="0.2">
      <c r="A795" s="4" t="str">
        <f>HYPERLINK("http://cdn.wpsstatic.com/images/full/5674-572a525e7d902.jpg", "http://cdn.wpsstatic.com/images/full/5674-572a525e7d902.jpg")</f>
        <v>http://cdn.wpsstatic.com/images/full/5674-572a525e7d902.jpg</v>
      </c>
      <c r="B795" s="5" t="s">
        <v>795</v>
      </c>
    </row>
    <row r="796" spans="1:2" x14ac:dyDescent="0.2">
      <c r="A796" s="4" t="str">
        <f>HYPERLINK("http://cdn.wpsstatic.com/images/full/5686-572a53b0e90b1.jpg", "http://cdn.wpsstatic.com/images/full/5686-572a53b0e90b1.jpg")</f>
        <v>http://cdn.wpsstatic.com/images/full/5686-572a53b0e90b1.jpg</v>
      </c>
      <c r="B796" s="5" t="s">
        <v>796</v>
      </c>
    </row>
    <row r="797" spans="1:2" x14ac:dyDescent="0.2">
      <c r="A797" s="4" t="str">
        <f>HYPERLINK("http://cdn.wpsstatic.com/images/full/568e-572a544ba4e4c.jpg", "http://cdn.wpsstatic.com/images/full/568e-572a544ba4e4c.jpg")</f>
        <v>http://cdn.wpsstatic.com/images/full/568e-572a544ba4e4c.jpg</v>
      </c>
      <c r="B797" s="5" t="s">
        <v>797</v>
      </c>
    </row>
    <row r="798" spans="1:2" x14ac:dyDescent="0.2">
      <c r="A798" s="4" t="str">
        <f>HYPERLINK("http://cdn.wpsstatic.com/images/full/56a5-572a539a32c31.jpg", "http://cdn.wpsstatic.com/images/full/56a5-572a539a32c31.jpg")</f>
        <v>http://cdn.wpsstatic.com/images/full/56a5-572a539a32c31.jpg</v>
      </c>
      <c r="B798" s="5" t="s">
        <v>798</v>
      </c>
    </row>
    <row r="799" spans="1:2" x14ac:dyDescent="0.2">
      <c r="A799" s="4" t="str">
        <f>HYPERLINK("http://cdn.wpsstatic.com/images/full/56ab-572a54ff4a0cd.jpg", "http://cdn.wpsstatic.com/images/full/56ab-572a54ff4a0cd.jpg")</f>
        <v>http://cdn.wpsstatic.com/images/full/56ab-572a54ff4a0cd.jpg</v>
      </c>
      <c r="B799" s="5" t="s">
        <v>799</v>
      </c>
    </row>
    <row r="800" spans="1:2" x14ac:dyDescent="0.2">
      <c r="A800" s="4" t="str">
        <f>HYPERLINK("http://cdn.wpsstatic.com/images/full/56c8-572a533c6317c.jpg", "http://cdn.wpsstatic.com/images/full/56c8-572a533c6317c.jpg")</f>
        <v>http://cdn.wpsstatic.com/images/full/56c8-572a533c6317c.jpg</v>
      </c>
      <c r="B800" s="5" t="s">
        <v>800</v>
      </c>
    </row>
    <row r="801" spans="1:2" x14ac:dyDescent="0.2">
      <c r="A801" s="4" t="str">
        <f>HYPERLINK("http://cdn.wpsstatic.com/images/full/5728-572a555d5aed8.jpg", "http://cdn.wpsstatic.com/images/full/5728-572a555d5aed8.jpg")</f>
        <v>http://cdn.wpsstatic.com/images/full/5728-572a555d5aed8.jpg</v>
      </c>
      <c r="B801" s="5" t="s">
        <v>801</v>
      </c>
    </row>
    <row r="802" spans="1:2" x14ac:dyDescent="0.2">
      <c r="A802" s="4" t="str">
        <f>HYPERLINK("http://cdn.wpsstatic.com/images/full/5731-572a52c6069a6.jpg", "http://cdn.wpsstatic.com/images/full/5731-572a52c6069a6.jpg")</f>
        <v>http://cdn.wpsstatic.com/images/full/5731-572a52c6069a6.jpg</v>
      </c>
      <c r="B802" s="5" t="s">
        <v>802</v>
      </c>
    </row>
    <row r="803" spans="1:2" x14ac:dyDescent="0.2">
      <c r="A803" s="4" t="str">
        <f>HYPERLINK("http://cdn.wpsstatic.com/images/full/575f-572a53b320e6e.jpg", "http://cdn.wpsstatic.com/images/full/575f-572a53b320e6e.jpg")</f>
        <v>http://cdn.wpsstatic.com/images/full/575f-572a53b320e6e.jpg</v>
      </c>
      <c r="B803" s="5" t="s">
        <v>803</v>
      </c>
    </row>
    <row r="804" spans="1:2" x14ac:dyDescent="0.2">
      <c r="A804" s="4" t="str">
        <f>HYPERLINK("http://cdn.wpsstatic.com/images/full/576e-572a5371a5997.jpg", "http://cdn.wpsstatic.com/images/full/576e-572a5371a5997.jpg")</f>
        <v>http://cdn.wpsstatic.com/images/full/576e-572a5371a5997.jpg</v>
      </c>
      <c r="B804" s="5" t="s">
        <v>804</v>
      </c>
    </row>
    <row r="805" spans="1:2" x14ac:dyDescent="0.2">
      <c r="A805" s="4" t="str">
        <f>HYPERLINK("http://cdn.wpsstatic.com/images/full/578d-6171d8158d570.png", "http://cdn.wpsstatic.com/images/full/578d-6171d8158d570.png")</f>
        <v>http://cdn.wpsstatic.com/images/full/578d-6171d8158d570.png</v>
      </c>
      <c r="B805" s="5" t="s">
        <v>805</v>
      </c>
    </row>
    <row r="806" spans="1:2" x14ac:dyDescent="0.2">
      <c r="A806" s="4" t="str">
        <f>HYPERLINK("http://cdn.wpsstatic.com/images/full/5793-572a5587ce68c.jpg", "http://cdn.wpsstatic.com/images/full/5793-572a5587ce68c.jpg")</f>
        <v>http://cdn.wpsstatic.com/images/full/5793-572a5587ce68c.jpg</v>
      </c>
      <c r="B806" s="5" t="s">
        <v>806</v>
      </c>
    </row>
    <row r="807" spans="1:2" x14ac:dyDescent="0.2">
      <c r="A807" s="4" t="str">
        <f>HYPERLINK("http://cdn.wpsstatic.com/images/full/586a-60ef198605326.png", "http://cdn.wpsstatic.com/images/full/586a-60ef198605326.png")</f>
        <v>http://cdn.wpsstatic.com/images/full/586a-60ef198605326.png</v>
      </c>
      <c r="B807" s="5" t="s">
        <v>807</v>
      </c>
    </row>
    <row r="808" spans="1:2" x14ac:dyDescent="0.2">
      <c r="A808" s="4" t="str">
        <f>HYPERLINK("http://cdn.wpsstatic.com/images/full/5876-5f529c2ee6723.jpg", "http://cdn.wpsstatic.com/images/full/5876-5f529c2ee6723.jpg")</f>
        <v>http://cdn.wpsstatic.com/images/full/5876-5f529c2ee6723.jpg</v>
      </c>
      <c r="B808" s="5" t="s">
        <v>808</v>
      </c>
    </row>
    <row r="809" spans="1:2" x14ac:dyDescent="0.2">
      <c r="A809" s="4" t="str">
        <f>HYPERLINK("http://cdn.wpsstatic.com/images/full/58ca-572a5640660a9.jpg", "http://cdn.wpsstatic.com/images/full/58ca-572a5640660a9.jpg")</f>
        <v>http://cdn.wpsstatic.com/images/full/58ca-572a5640660a9.jpg</v>
      </c>
      <c r="B809" s="5" t="s">
        <v>809</v>
      </c>
    </row>
    <row r="810" spans="1:2" x14ac:dyDescent="0.2">
      <c r="A810" s="4" t="str">
        <f>HYPERLINK("http://cdn.wpsstatic.com/images/full/5921-572a54fa52e4b.jpg", "http://cdn.wpsstatic.com/images/full/5921-572a54fa52e4b.jpg")</f>
        <v>http://cdn.wpsstatic.com/images/full/5921-572a54fa52e4b.jpg</v>
      </c>
      <c r="B810" s="5" t="s">
        <v>810</v>
      </c>
    </row>
    <row r="811" spans="1:2" x14ac:dyDescent="0.2">
      <c r="A811" s="4" t="str">
        <f>HYPERLINK("http://cdn.wpsstatic.com/images/full/5988-572a54d34adb1.jpg", "http://cdn.wpsstatic.com/images/full/5988-572a54d34adb1.jpg")</f>
        <v>http://cdn.wpsstatic.com/images/full/5988-572a54d34adb1.jpg</v>
      </c>
      <c r="B811" s="5" t="s">
        <v>811</v>
      </c>
    </row>
    <row r="812" spans="1:2" x14ac:dyDescent="0.2">
      <c r="A812" s="4" t="str">
        <f>HYPERLINK("http://cdn.wpsstatic.com/images/full/59a7-572a526a67f3d.jpg", "http://cdn.wpsstatic.com/images/full/59a7-572a526a67f3d.jpg")</f>
        <v>http://cdn.wpsstatic.com/images/full/59a7-572a526a67f3d.jpg</v>
      </c>
      <c r="B812" s="5" t="s">
        <v>812</v>
      </c>
    </row>
    <row r="813" spans="1:2" x14ac:dyDescent="0.2">
      <c r="A813" s="4" t="str">
        <f>HYPERLINK("http://cdn.wpsstatic.com/images/full/59aa-572a53a0225ae.jpg", "http://cdn.wpsstatic.com/images/full/59aa-572a53a0225ae.jpg")</f>
        <v>http://cdn.wpsstatic.com/images/full/59aa-572a53a0225ae.jpg</v>
      </c>
      <c r="B813" s="5" t="s">
        <v>813</v>
      </c>
    </row>
    <row r="814" spans="1:2" x14ac:dyDescent="0.2">
      <c r="A814" s="4" t="str">
        <f>HYPERLINK("http://cdn.wpsstatic.com/images/full/59ad-572a530621a84.jpg", "http://cdn.wpsstatic.com/images/full/59ad-572a530621a84.jpg")</f>
        <v>http://cdn.wpsstatic.com/images/full/59ad-572a530621a84.jpg</v>
      </c>
      <c r="B814" s="5" t="s">
        <v>814</v>
      </c>
    </row>
    <row r="815" spans="1:2" x14ac:dyDescent="0.2">
      <c r="A815" s="4" t="str">
        <f>HYPERLINK("http://cdn.wpsstatic.com/images/full/59b2-572a53e64f82c.jpg", "http://cdn.wpsstatic.com/images/full/59b2-572a53e64f82c.jpg")</f>
        <v>http://cdn.wpsstatic.com/images/full/59b2-572a53e64f82c.jpg</v>
      </c>
      <c r="B815" s="5" t="s">
        <v>815</v>
      </c>
    </row>
    <row r="816" spans="1:2" x14ac:dyDescent="0.2">
      <c r="A816" s="4" t="str">
        <f>HYPERLINK("http://cdn.wpsstatic.com/images/full/59b6-572a54964b4d4.jpg", "http://cdn.wpsstatic.com/images/full/59b6-572a54964b4d4.jpg")</f>
        <v>http://cdn.wpsstatic.com/images/full/59b6-572a54964b4d4.jpg</v>
      </c>
      <c r="B816" s="5" t="s">
        <v>816</v>
      </c>
    </row>
    <row r="817" spans="1:2" x14ac:dyDescent="0.2">
      <c r="A817" s="4" t="str">
        <f>HYPERLINK("http://cdn.wpsstatic.com/images/full/59c8-572a551ca9a66.jpg", "http://cdn.wpsstatic.com/images/full/59c8-572a551ca9a66.jpg")</f>
        <v>http://cdn.wpsstatic.com/images/full/59c8-572a551ca9a66.jpg</v>
      </c>
      <c r="B817" s="5" t="s">
        <v>817</v>
      </c>
    </row>
    <row r="818" spans="1:2" x14ac:dyDescent="0.2">
      <c r="A818" s="4" t="str">
        <f>HYPERLINK("http://cdn.wpsstatic.com/images/full/59ca-572a539f94397.jpg", "http://cdn.wpsstatic.com/images/full/59ca-572a539f94397.jpg")</f>
        <v>http://cdn.wpsstatic.com/images/full/59ca-572a539f94397.jpg</v>
      </c>
      <c r="B818" s="5" t="s">
        <v>818</v>
      </c>
    </row>
    <row r="819" spans="1:2" x14ac:dyDescent="0.2">
      <c r="A819" s="4" t="str">
        <f>HYPERLINK("http://cdn.wpsstatic.com/images/full/59f7-572a534fd9fda.jpg", "http://cdn.wpsstatic.com/images/full/59f7-572a534fd9fda.jpg")</f>
        <v>http://cdn.wpsstatic.com/images/full/59f7-572a534fd9fda.jpg</v>
      </c>
      <c r="B819" s="5" t="s">
        <v>819</v>
      </c>
    </row>
    <row r="820" spans="1:2" x14ac:dyDescent="0.2">
      <c r="A820" s="4" t="str">
        <f>HYPERLINK("http://cdn.wpsstatic.com/images/full/5a18-572a54d3dc1cb.jpg", "http://cdn.wpsstatic.com/images/full/5a18-572a54d3dc1cb.jpg")</f>
        <v>http://cdn.wpsstatic.com/images/full/5a18-572a54d3dc1cb.jpg</v>
      </c>
      <c r="B820" s="5" t="s">
        <v>820</v>
      </c>
    </row>
    <row r="821" spans="1:2" x14ac:dyDescent="0.2">
      <c r="A821" s="4" t="str">
        <f>HYPERLINK("http://cdn.wpsstatic.com/images/full/5a22-572a54ab4c2f5.jpg", "http://cdn.wpsstatic.com/images/full/5a22-572a54ab4c2f5.jpg")</f>
        <v>http://cdn.wpsstatic.com/images/full/5a22-572a54ab4c2f5.jpg</v>
      </c>
      <c r="B821" s="5" t="s">
        <v>821</v>
      </c>
    </row>
    <row r="822" spans="1:2" x14ac:dyDescent="0.2">
      <c r="A822" s="4" t="str">
        <f>HYPERLINK("http://cdn.wpsstatic.com/images/full/5a2c-60a6ac89435d3.png", "http://cdn.wpsstatic.com/images/full/5a2c-60a6ac89435d3.png")</f>
        <v>http://cdn.wpsstatic.com/images/full/5a2c-60a6ac89435d3.png</v>
      </c>
      <c r="B822" s="5" t="s">
        <v>822</v>
      </c>
    </row>
    <row r="823" spans="1:2" x14ac:dyDescent="0.2">
      <c r="A823" s="4" t="str">
        <f>HYPERLINK("http://cdn.wpsstatic.com/images/full/5a3c-572a531123422.jpg", "http://cdn.wpsstatic.com/images/full/5a3c-572a531123422.jpg")</f>
        <v>http://cdn.wpsstatic.com/images/full/5a3c-572a531123422.jpg</v>
      </c>
      <c r="B823" s="5" t="s">
        <v>823</v>
      </c>
    </row>
    <row r="824" spans="1:2" x14ac:dyDescent="0.2">
      <c r="A824" s="4" t="str">
        <f>HYPERLINK("http://cdn.wpsstatic.com/images/full/5a4c-572a554dd4df5.jpg", "http://cdn.wpsstatic.com/images/full/5a4c-572a554dd4df5.jpg")</f>
        <v>http://cdn.wpsstatic.com/images/full/5a4c-572a554dd4df5.jpg</v>
      </c>
      <c r="B824" s="5" t="s">
        <v>824</v>
      </c>
    </row>
    <row r="825" spans="1:2" x14ac:dyDescent="0.2">
      <c r="A825" s="4" t="str">
        <f>HYPERLINK("http://cdn.wpsstatic.com/images/full/5a5e-572a5494dd3c7.jpg", "http://cdn.wpsstatic.com/images/full/5a5e-572a5494dd3c7.jpg")</f>
        <v>http://cdn.wpsstatic.com/images/full/5a5e-572a5494dd3c7.jpg</v>
      </c>
      <c r="B825" s="5" t="s">
        <v>825</v>
      </c>
    </row>
    <row r="826" spans="1:2" x14ac:dyDescent="0.2">
      <c r="A826" s="4" t="str">
        <f>HYPERLINK("http://cdn.wpsstatic.com/images/full/5a88-572a525305b95.jpg", "http://cdn.wpsstatic.com/images/full/5a88-572a525305b95.jpg")</f>
        <v>http://cdn.wpsstatic.com/images/full/5a88-572a525305b95.jpg</v>
      </c>
      <c r="B826" s="5" t="s">
        <v>826</v>
      </c>
    </row>
    <row r="827" spans="1:2" x14ac:dyDescent="0.2">
      <c r="A827" s="4" t="str">
        <f>HYPERLINK("http://cdn.wpsstatic.com/images/full/5a92-572a526c194e2.jpg", "http://cdn.wpsstatic.com/images/full/5a92-572a526c194e2.jpg")</f>
        <v>http://cdn.wpsstatic.com/images/full/5a92-572a526c194e2.jpg</v>
      </c>
      <c r="B827" s="5" t="s">
        <v>827</v>
      </c>
    </row>
    <row r="828" spans="1:2" x14ac:dyDescent="0.2">
      <c r="A828" s="4" t="str">
        <f>HYPERLINK("http://cdn.wpsstatic.com/images/full/5a93-5d54316a3fec2.jpg", "http://cdn.wpsstatic.com/images/full/5a93-5d54316a3fec2.jpg")</f>
        <v>http://cdn.wpsstatic.com/images/full/5a93-5d54316a3fec2.jpg</v>
      </c>
      <c r="B828" s="5" t="s">
        <v>828</v>
      </c>
    </row>
    <row r="829" spans="1:2" x14ac:dyDescent="0.2">
      <c r="A829" s="4" t="str">
        <f>HYPERLINK("http://cdn.wpsstatic.com/images/full/5ab8-5885c220d56cf.jpg", "http://cdn.wpsstatic.com/images/full/5ab8-5885c220d56cf.jpg")</f>
        <v>http://cdn.wpsstatic.com/images/full/5ab8-5885c220d56cf.jpg</v>
      </c>
      <c r="B829" s="5" t="s">
        <v>829</v>
      </c>
    </row>
    <row r="830" spans="1:2" x14ac:dyDescent="0.2">
      <c r="A830" s="4" t="str">
        <f>HYPERLINK("http://cdn.wpsstatic.com/images/full/5af7-572a5554a94e2.jpg", "http://cdn.wpsstatic.com/images/full/5af7-572a5554a94e2.jpg")</f>
        <v>http://cdn.wpsstatic.com/images/full/5af7-572a5554a94e2.jpg</v>
      </c>
      <c r="B830" s="5" t="s">
        <v>830</v>
      </c>
    </row>
    <row r="831" spans="1:2" x14ac:dyDescent="0.2">
      <c r="A831" s="4" t="str">
        <f>HYPERLINK("http://cdn.wpsstatic.com/images/full/5b04-572a537849782.jpg", "http://cdn.wpsstatic.com/images/full/5b04-572a537849782.jpg")</f>
        <v>http://cdn.wpsstatic.com/images/full/5b04-572a537849782.jpg</v>
      </c>
      <c r="B831" s="5" t="s">
        <v>831</v>
      </c>
    </row>
    <row r="832" spans="1:2" x14ac:dyDescent="0.2">
      <c r="A832" s="4" t="str">
        <f>HYPERLINK("http://cdn.wpsstatic.com/images/full/5b0a-572a53b07a704.jpg", "http://cdn.wpsstatic.com/images/full/5b0a-572a53b07a704.jpg")</f>
        <v>http://cdn.wpsstatic.com/images/full/5b0a-572a53b07a704.jpg</v>
      </c>
      <c r="B832" s="5" t="s">
        <v>832</v>
      </c>
    </row>
    <row r="833" spans="1:2" x14ac:dyDescent="0.2">
      <c r="A833" s="4" t="str">
        <f>HYPERLINK("http://cdn.wpsstatic.com/images/full/5b26-572a54d21e5e3.jpg", "http://cdn.wpsstatic.com/images/full/5b26-572a54d21e5e3.jpg")</f>
        <v>http://cdn.wpsstatic.com/images/full/5b26-572a54d21e5e3.jpg</v>
      </c>
      <c r="B833" s="5" t="s">
        <v>833</v>
      </c>
    </row>
    <row r="834" spans="1:2" x14ac:dyDescent="0.2">
      <c r="A834" s="4" t="str">
        <f>HYPERLINK("http://cdn.wpsstatic.com/images/full/5b7e-5d028c85b9a01.jpg", "http://cdn.wpsstatic.com/images/full/5b7e-5d028c85b9a01.jpg")</f>
        <v>http://cdn.wpsstatic.com/images/full/5b7e-5d028c85b9a01.jpg</v>
      </c>
      <c r="B834" s="5" t="s">
        <v>834</v>
      </c>
    </row>
    <row r="835" spans="1:2" x14ac:dyDescent="0.2">
      <c r="A835" s="4" t="str">
        <f>HYPERLINK("http://cdn.wpsstatic.com/images/full/5b94-5f57b9237d86b.jpg", "http://cdn.wpsstatic.com/images/full/5b94-5f57b9237d86b.jpg")</f>
        <v>http://cdn.wpsstatic.com/images/full/5b94-5f57b9237d86b.jpg</v>
      </c>
      <c r="B835" s="5" t="s">
        <v>835</v>
      </c>
    </row>
    <row r="836" spans="1:2" x14ac:dyDescent="0.2">
      <c r="A836" s="4" t="str">
        <f>HYPERLINK("http://cdn.wpsstatic.com/images/full/5b9c-572a7503449dc.jpg", "http://cdn.wpsstatic.com/images/full/5b9c-572a7503449dc.jpg")</f>
        <v>http://cdn.wpsstatic.com/images/full/5b9c-572a7503449dc.jpg</v>
      </c>
      <c r="B836" s="5" t="s">
        <v>836</v>
      </c>
    </row>
    <row r="837" spans="1:2" x14ac:dyDescent="0.2">
      <c r="A837" s="4" t="str">
        <f>HYPERLINK("http://cdn.wpsstatic.com/images/full/5bd9-572a553cda1aa.jpg", "http://cdn.wpsstatic.com/images/full/5bd9-572a553cda1aa.jpg")</f>
        <v>http://cdn.wpsstatic.com/images/full/5bd9-572a553cda1aa.jpg</v>
      </c>
      <c r="B837" s="5" t="s">
        <v>837</v>
      </c>
    </row>
    <row r="838" spans="1:2" x14ac:dyDescent="0.2">
      <c r="A838" s="4" t="str">
        <f>HYPERLINK("http://cdn.wpsstatic.com/images/full/5be7-5d0293deefee7.jpg", "http://cdn.wpsstatic.com/images/full/5be7-5d0293deefee7.jpg")</f>
        <v>http://cdn.wpsstatic.com/images/full/5be7-5d0293deefee7.jpg</v>
      </c>
      <c r="B838" s="5" t="s">
        <v>838</v>
      </c>
    </row>
    <row r="839" spans="1:2" x14ac:dyDescent="0.2">
      <c r="A839" s="4" t="str">
        <f>HYPERLINK("http://cdn.wpsstatic.com/images/full/5bfd-572a54d2bcdba.jpg", "http://cdn.wpsstatic.com/images/full/5bfd-572a54d2bcdba.jpg")</f>
        <v>http://cdn.wpsstatic.com/images/full/5bfd-572a54d2bcdba.jpg</v>
      </c>
      <c r="B839" s="5" t="s">
        <v>839</v>
      </c>
    </row>
    <row r="840" spans="1:2" x14ac:dyDescent="0.2">
      <c r="A840" s="4" t="str">
        <f>HYPERLINK("http://cdn.wpsstatic.com/images/full/5c03-572a5330a46a1.jpg", "http://cdn.wpsstatic.com/images/full/5c03-572a5330a46a1.jpg")</f>
        <v>http://cdn.wpsstatic.com/images/full/5c03-572a5330a46a1.jpg</v>
      </c>
      <c r="B840" s="5" t="s">
        <v>840</v>
      </c>
    </row>
    <row r="841" spans="1:2" x14ac:dyDescent="0.2">
      <c r="A841" s="4" t="str">
        <f>HYPERLINK("http://cdn.wpsstatic.com/images/full/5c1f-572a550bc01ef.jpg", "http://cdn.wpsstatic.com/images/full/5c1f-572a550bc01ef.jpg")</f>
        <v>http://cdn.wpsstatic.com/images/full/5c1f-572a550bc01ef.jpg</v>
      </c>
      <c r="B841" s="5" t="s">
        <v>841</v>
      </c>
    </row>
    <row r="842" spans="1:2" x14ac:dyDescent="0.2">
      <c r="A842" s="4" t="str">
        <f>HYPERLINK("http://cdn.wpsstatic.com/images/full/5c38-572a526e715e5.jpg", "http://cdn.wpsstatic.com/images/full/5c38-572a526e715e5.jpg")</f>
        <v>http://cdn.wpsstatic.com/images/full/5c38-572a526e715e5.jpg</v>
      </c>
      <c r="B842" s="5" t="s">
        <v>842</v>
      </c>
    </row>
    <row r="843" spans="1:2" x14ac:dyDescent="0.2">
      <c r="A843" s="4" t="str">
        <f>HYPERLINK("http://cdn.wpsstatic.com/images/full/5c43-572a540e87294.jpg", "http://cdn.wpsstatic.com/images/full/5c43-572a540e87294.jpg")</f>
        <v>http://cdn.wpsstatic.com/images/full/5c43-572a540e87294.jpg</v>
      </c>
      <c r="B843" s="5" t="s">
        <v>843</v>
      </c>
    </row>
    <row r="844" spans="1:2" x14ac:dyDescent="0.2">
      <c r="A844" s="4" t="str">
        <f>HYPERLINK("http://cdn.wpsstatic.com/images/full/5cc2-572a547dd23e3.jpg", "http://cdn.wpsstatic.com/images/full/5cc2-572a547dd23e3.jpg")</f>
        <v>http://cdn.wpsstatic.com/images/full/5cc2-572a547dd23e3.jpg</v>
      </c>
      <c r="B844" s="5" t="s">
        <v>844</v>
      </c>
    </row>
    <row r="845" spans="1:2" x14ac:dyDescent="0.2">
      <c r="A845" s="4" t="str">
        <f>HYPERLINK("http://cdn.wpsstatic.com/images/full/5ccf-572a547f00389.jpg", "http://cdn.wpsstatic.com/images/full/5ccf-572a547f00389.jpg")</f>
        <v>http://cdn.wpsstatic.com/images/full/5ccf-572a547f00389.jpg</v>
      </c>
      <c r="B845" s="5" t="s">
        <v>845</v>
      </c>
    </row>
    <row r="846" spans="1:2" x14ac:dyDescent="0.2">
      <c r="A846" s="4" t="str">
        <f>HYPERLINK("http://cdn.wpsstatic.com/images/full/5ce9-5d029a976bb16.jpg", "http://cdn.wpsstatic.com/images/full/5ce9-5d029a976bb16.jpg")</f>
        <v>http://cdn.wpsstatic.com/images/full/5ce9-5d029a976bb16.jpg</v>
      </c>
      <c r="B846" s="5" t="s">
        <v>846</v>
      </c>
    </row>
    <row r="847" spans="1:2" x14ac:dyDescent="0.2">
      <c r="A847" s="4" t="str">
        <f>HYPERLINK("http://cdn.wpsstatic.com/images/full/5cee-572a5500876e4.jpg", "http://cdn.wpsstatic.com/images/full/5cee-572a5500876e4.jpg")</f>
        <v>http://cdn.wpsstatic.com/images/full/5cee-572a5500876e4.jpg</v>
      </c>
      <c r="B847" s="5" t="s">
        <v>847</v>
      </c>
    </row>
    <row r="848" spans="1:2" x14ac:dyDescent="0.2">
      <c r="A848" s="4" t="str">
        <f>HYPERLINK("http://cdn.wpsstatic.com/images/full/5d03-5f57977f2bc3c.jpg", "http://cdn.wpsstatic.com/images/full/5d03-5f57977f2bc3c.jpg")</f>
        <v>http://cdn.wpsstatic.com/images/full/5d03-5f57977f2bc3c.jpg</v>
      </c>
      <c r="B848" s="5" t="s">
        <v>848</v>
      </c>
    </row>
    <row r="849" spans="1:2" x14ac:dyDescent="0.2">
      <c r="A849" s="4" t="str">
        <f>HYPERLINK("http://cdn.wpsstatic.com/images/full/5d09-572a7460f10cc.jpg", "http://cdn.wpsstatic.com/images/full/5d09-572a7460f10cc.jpg")</f>
        <v>http://cdn.wpsstatic.com/images/full/5d09-572a7460f10cc.jpg</v>
      </c>
      <c r="B849" s="5" t="s">
        <v>849</v>
      </c>
    </row>
    <row r="850" spans="1:2" x14ac:dyDescent="0.2">
      <c r="A850" s="4" t="str">
        <f>HYPERLINK("http://cdn.wpsstatic.com/images/full/5d0a-572a553269f4d.jpg", "http://cdn.wpsstatic.com/images/full/5d0a-572a553269f4d.jpg")</f>
        <v>http://cdn.wpsstatic.com/images/full/5d0a-572a553269f4d.jpg</v>
      </c>
      <c r="B850" s="5" t="s">
        <v>850</v>
      </c>
    </row>
    <row r="851" spans="1:2" x14ac:dyDescent="0.2">
      <c r="A851" s="4" t="str">
        <f>HYPERLINK("http://cdn.wpsstatic.com/images/full/5d23-572a5643c038a.jpg", "http://cdn.wpsstatic.com/images/full/5d23-572a5643c038a.jpg")</f>
        <v>http://cdn.wpsstatic.com/images/full/5d23-572a5643c038a.jpg</v>
      </c>
      <c r="B851" s="5" t="s">
        <v>851</v>
      </c>
    </row>
    <row r="852" spans="1:2" x14ac:dyDescent="0.2">
      <c r="A852" s="4" t="str">
        <f>HYPERLINK("http://cdn.wpsstatic.com/images/full/5d4b-572a555886a5b.jpg", "http://cdn.wpsstatic.com/images/full/5d4b-572a555886a5b.jpg")</f>
        <v>http://cdn.wpsstatic.com/images/full/5d4b-572a555886a5b.jpg</v>
      </c>
      <c r="B852" s="5" t="s">
        <v>852</v>
      </c>
    </row>
    <row r="853" spans="1:2" x14ac:dyDescent="0.2">
      <c r="A853" s="4" t="str">
        <f>HYPERLINK("http://cdn.wpsstatic.com/images/full/5d6a-572a53d7cfe0d.jpg", "http://cdn.wpsstatic.com/images/full/5d6a-572a53d7cfe0d.jpg")</f>
        <v>http://cdn.wpsstatic.com/images/full/5d6a-572a53d7cfe0d.jpg</v>
      </c>
      <c r="B853" s="5" t="s">
        <v>853</v>
      </c>
    </row>
    <row r="854" spans="1:2" x14ac:dyDescent="0.2">
      <c r="A854" s="4" t="str">
        <f>HYPERLINK("http://cdn.wpsstatic.com/images/full/5d84-572a54f5b26c6.jpg", "http://cdn.wpsstatic.com/images/full/5d84-572a54f5b26c6.jpg")</f>
        <v>http://cdn.wpsstatic.com/images/full/5d84-572a54f5b26c6.jpg</v>
      </c>
      <c r="B854" s="5" t="s">
        <v>854</v>
      </c>
    </row>
    <row r="855" spans="1:2" x14ac:dyDescent="0.2">
      <c r="A855" s="4" t="str">
        <f>HYPERLINK("http://cdn.wpsstatic.com/images/full/5dcf-572a74fbbabef.jpg", "http://cdn.wpsstatic.com/images/full/5dcf-572a74fbbabef.jpg")</f>
        <v>http://cdn.wpsstatic.com/images/full/5dcf-572a74fbbabef.jpg</v>
      </c>
      <c r="B855" s="5" t="s">
        <v>855</v>
      </c>
    </row>
    <row r="856" spans="1:2" x14ac:dyDescent="0.2">
      <c r="A856" s="4" t="str">
        <f>HYPERLINK("http://cdn.wpsstatic.com/images/full/5dd6-5d029436becfc.jpg", "http://cdn.wpsstatic.com/images/full/5dd6-5d029436becfc.jpg")</f>
        <v>http://cdn.wpsstatic.com/images/full/5dd6-5d029436becfc.jpg</v>
      </c>
      <c r="B856" s="5" t="s">
        <v>856</v>
      </c>
    </row>
    <row r="857" spans="1:2" x14ac:dyDescent="0.2">
      <c r="A857" s="4" t="str">
        <f>HYPERLINK("http://cdn.wpsstatic.com/images/full/5ddd-5d02981f66f7e.jpg", "http://cdn.wpsstatic.com/images/full/5ddd-5d02981f66f7e.jpg")</f>
        <v>http://cdn.wpsstatic.com/images/full/5ddd-5d02981f66f7e.jpg</v>
      </c>
      <c r="B857" s="5" t="s">
        <v>857</v>
      </c>
    </row>
    <row r="858" spans="1:2" x14ac:dyDescent="0.2">
      <c r="A858" s="4" t="str">
        <f>HYPERLINK("http://cdn.wpsstatic.com/images/full/5e19-572a54e8d90cf.jpg", "http://cdn.wpsstatic.com/images/full/5e19-572a54e8d90cf.jpg")</f>
        <v>http://cdn.wpsstatic.com/images/full/5e19-572a54e8d90cf.jpg</v>
      </c>
      <c r="B858" s="5" t="s">
        <v>858</v>
      </c>
    </row>
    <row r="859" spans="1:2" x14ac:dyDescent="0.2">
      <c r="A859" s="4" t="str">
        <f>HYPERLINK("http://cdn.wpsstatic.com/images/full/5e4c-572a52c9c19df.jpg", "http://cdn.wpsstatic.com/images/full/5e4c-572a52c9c19df.jpg")</f>
        <v>http://cdn.wpsstatic.com/images/full/5e4c-572a52c9c19df.jpg</v>
      </c>
      <c r="B859" s="5" t="s">
        <v>859</v>
      </c>
    </row>
    <row r="860" spans="1:2" x14ac:dyDescent="0.2">
      <c r="A860" s="4" t="str">
        <f>HYPERLINK("http://cdn.wpsstatic.com/images/full/5e67-5f578f95729b4.jpg", "http://cdn.wpsstatic.com/images/full/5e67-5f578f95729b4.jpg")</f>
        <v>http://cdn.wpsstatic.com/images/full/5e67-5f578f95729b4.jpg</v>
      </c>
      <c r="B860" s="5" t="s">
        <v>860</v>
      </c>
    </row>
    <row r="861" spans="1:2" x14ac:dyDescent="0.2">
      <c r="A861" s="4" t="str">
        <f>HYPERLINK("http://cdn.wpsstatic.com/images/full/5e74-572a552af3eb4.jpg", "http://cdn.wpsstatic.com/images/full/5e74-572a552af3eb4.jpg")</f>
        <v>http://cdn.wpsstatic.com/images/full/5e74-572a552af3eb4.jpg</v>
      </c>
      <c r="B861" s="5" t="s">
        <v>861</v>
      </c>
    </row>
    <row r="862" spans="1:2" x14ac:dyDescent="0.2">
      <c r="A862" s="4" t="str">
        <f>HYPERLINK("http://cdn.wpsstatic.com/images/full/5ea1-572a54f80fe60.jpg", "http://cdn.wpsstatic.com/images/full/5ea1-572a54f80fe60.jpg")</f>
        <v>http://cdn.wpsstatic.com/images/full/5ea1-572a54f80fe60.jpg</v>
      </c>
      <c r="B862" s="5" t="s">
        <v>862</v>
      </c>
    </row>
    <row r="863" spans="1:2" x14ac:dyDescent="0.2">
      <c r="A863" s="4" t="str">
        <f>HYPERLINK("http://cdn.wpsstatic.com/images/full/5ebd-572a5572def83.jpg", "http://cdn.wpsstatic.com/images/full/5ebd-572a5572def83.jpg")</f>
        <v>http://cdn.wpsstatic.com/images/full/5ebd-572a5572def83.jpg</v>
      </c>
      <c r="B863" s="5" t="s">
        <v>863</v>
      </c>
    </row>
    <row r="864" spans="1:2" x14ac:dyDescent="0.2">
      <c r="A864" s="4" t="str">
        <f>HYPERLINK("http://cdn.wpsstatic.com/images/full/5ec2-5d028f604f79f.jpg", "http://cdn.wpsstatic.com/images/full/5ec2-5d028f604f79f.jpg")</f>
        <v>http://cdn.wpsstatic.com/images/full/5ec2-5d028f604f79f.jpg</v>
      </c>
      <c r="B864" s="5" t="s">
        <v>864</v>
      </c>
    </row>
    <row r="865" spans="1:2" x14ac:dyDescent="0.2">
      <c r="A865" s="4" t="str">
        <f>HYPERLINK("http://cdn.wpsstatic.com/images/full/5ec2-5d7901999f404.jpg", "http://cdn.wpsstatic.com/images/full/5ec2-5d7901999f404.jpg")</f>
        <v>http://cdn.wpsstatic.com/images/full/5ec2-5d7901999f404.jpg</v>
      </c>
      <c r="B865" s="5" t="s">
        <v>865</v>
      </c>
    </row>
    <row r="866" spans="1:2" x14ac:dyDescent="0.2">
      <c r="A866" s="4" t="str">
        <f>HYPERLINK("http://cdn.wpsstatic.com/images/full/5eda-572a563ab4c6a.jpg", "http://cdn.wpsstatic.com/images/full/5eda-572a563ab4c6a.jpg")</f>
        <v>http://cdn.wpsstatic.com/images/full/5eda-572a563ab4c6a.jpg</v>
      </c>
      <c r="B866" s="5" t="s">
        <v>866</v>
      </c>
    </row>
    <row r="867" spans="1:2" x14ac:dyDescent="0.2">
      <c r="A867" s="4" t="str">
        <f>HYPERLINK("http://cdn.wpsstatic.com/images/full/5ef4-572a5478a4ff5.jpg", "http://cdn.wpsstatic.com/images/full/5ef4-572a5478a4ff5.jpg")</f>
        <v>http://cdn.wpsstatic.com/images/full/5ef4-572a5478a4ff5.jpg</v>
      </c>
      <c r="B867" s="5" t="s">
        <v>867</v>
      </c>
    </row>
    <row r="868" spans="1:2" x14ac:dyDescent="0.2">
      <c r="A868" s="4" t="str">
        <f>HYPERLINK("http://cdn.wpsstatic.com/images/full/5f12-5d1684891b268.jpg", "http://cdn.wpsstatic.com/images/full/5f12-5d1684891b268.jpg")</f>
        <v>http://cdn.wpsstatic.com/images/full/5f12-5d1684891b268.jpg</v>
      </c>
      <c r="B868" s="5" t="s">
        <v>868</v>
      </c>
    </row>
    <row r="869" spans="1:2" x14ac:dyDescent="0.2">
      <c r="A869" s="4" t="str">
        <f>HYPERLINK("http://cdn.wpsstatic.com/images/full/5f15-572a53b683f89.jpg", "http://cdn.wpsstatic.com/images/full/5f15-572a53b683f89.jpg")</f>
        <v>http://cdn.wpsstatic.com/images/full/5f15-572a53b683f89.jpg</v>
      </c>
      <c r="B869" s="5" t="s">
        <v>869</v>
      </c>
    </row>
    <row r="870" spans="1:2" x14ac:dyDescent="0.2">
      <c r="A870" s="4" t="str">
        <f>HYPERLINK("http://cdn.wpsstatic.com/images/full/5f46-572a52885dcfa.jpg", "http://cdn.wpsstatic.com/images/full/5f46-572a52885dcfa.jpg")</f>
        <v>http://cdn.wpsstatic.com/images/full/5f46-572a52885dcfa.jpg</v>
      </c>
      <c r="B870" s="5" t="s">
        <v>870</v>
      </c>
    </row>
    <row r="871" spans="1:2" x14ac:dyDescent="0.2">
      <c r="A871" s="4" t="str">
        <f>HYPERLINK("http://cdn.wpsstatic.com/images/full/5f4c-572a544f873c3.jpg", "http://cdn.wpsstatic.com/images/full/5f4c-572a544f873c3.jpg")</f>
        <v>http://cdn.wpsstatic.com/images/full/5f4c-572a544f873c3.jpg</v>
      </c>
      <c r="B871" s="5" t="s">
        <v>871</v>
      </c>
    </row>
    <row r="872" spans="1:2" x14ac:dyDescent="0.2">
      <c r="A872" s="4" t="str">
        <f>HYPERLINK("http://cdn.wpsstatic.com/images/full/5f51-660426df66721.png", "http://cdn.wpsstatic.com/images/full/5f51-660426df66721.png")</f>
        <v>http://cdn.wpsstatic.com/images/full/5f51-660426df66721.png</v>
      </c>
      <c r="B872" s="5" t="s">
        <v>872</v>
      </c>
    </row>
    <row r="873" spans="1:2" x14ac:dyDescent="0.2">
      <c r="A873" s="4" t="str">
        <f>HYPERLINK("http://cdn.wpsstatic.com/images/full/5f59-572a547a5e0c2.jpg", "http://cdn.wpsstatic.com/images/full/5f59-572a547a5e0c2.jpg")</f>
        <v>http://cdn.wpsstatic.com/images/full/5f59-572a547a5e0c2.jpg</v>
      </c>
      <c r="B873" s="5" t="s">
        <v>873</v>
      </c>
    </row>
    <row r="874" spans="1:2" x14ac:dyDescent="0.2">
      <c r="A874" s="4" t="str">
        <f>HYPERLINK("http://cdn.wpsstatic.com/images/full/5f74-572a53708e6d6.jpg", "http://cdn.wpsstatic.com/images/full/5f74-572a53708e6d6.jpg")</f>
        <v>http://cdn.wpsstatic.com/images/full/5f74-572a53708e6d6.jpg</v>
      </c>
      <c r="B874" s="5" t="s">
        <v>874</v>
      </c>
    </row>
    <row r="875" spans="1:2" x14ac:dyDescent="0.2">
      <c r="A875" s="4" t="str">
        <f>HYPERLINK("http://cdn.wpsstatic.com/images/full/5ff2-5d7905c0d53b2.jpg", "http://cdn.wpsstatic.com/images/full/5ff2-5d7905c0d53b2.jpg")</f>
        <v>http://cdn.wpsstatic.com/images/full/5ff2-5d7905c0d53b2.jpg</v>
      </c>
      <c r="B875" s="5" t="s">
        <v>875</v>
      </c>
    </row>
    <row r="876" spans="1:2" x14ac:dyDescent="0.2">
      <c r="A876" s="4" t="str">
        <f>HYPERLINK("http://cdn.wpsstatic.com/images/full/5ff7-572a54ce63813.jpg", "http://cdn.wpsstatic.com/images/full/5ff7-572a54ce63813.jpg")</f>
        <v>http://cdn.wpsstatic.com/images/full/5ff7-572a54ce63813.jpg</v>
      </c>
      <c r="B876" s="5" t="s">
        <v>876</v>
      </c>
    </row>
    <row r="877" spans="1:2" x14ac:dyDescent="0.2">
      <c r="A877" s="4" t="str">
        <f>HYPERLINK("http://cdn.wpsstatic.com/images/full/6028-572a549e65f0f.jpg", "http://cdn.wpsstatic.com/images/full/6028-572a549e65f0f.jpg")</f>
        <v>http://cdn.wpsstatic.com/images/full/6028-572a549e65f0f.jpg</v>
      </c>
      <c r="B877" s="5" t="s">
        <v>877</v>
      </c>
    </row>
    <row r="878" spans="1:2" x14ac:dyDescent="0.2">
      <c r="A878" s="4" t="str">
        <f>HYPERLINK("http://cdn.wpsstatic.com/images/full/6054-572a549a45bb1.jpg", "http://cdn.wpsstatic.com/images/full/6054-572a549a45bb1.jpg")</f>
        <v>http://cdn.wpsstatic.com/images/full/6054-572a549a45bb1.jpg</v>
      </c>
      <c r="B878" s="5" t="s">
        <v>878</v>
      </c>
    </row>
    <row r="879" spans="1:2" x14ac:dyDescent="0.2">
      <c r="A879" s="4" t="str">
        <f>HYPERLINK("http://cdn.wpsstatic.com/images/full/6086-572a550b39644.jpg", "http://cdn.wpsstatic.com/images/full/6086-572a550b39644.jpg")</f>
        <v>http://cdn.wpsstatic.com/images/full/6086-572a550b39644.jpg</v>
      </c>
      <c r="B879" s="5" t="s">
        <v>879</v>
      </c>
    </row>
    <row r="880" spans="1:2" x14ac:dyDescent="0.2">
      <c r="A880" s="4" t="str">
        <f>HYPERLINK("http://cdn.wpsstatic.com/images/full/608c-572a54c23a268.jpg", "http://cdn.wpsstatic.com/images/full/608c-572a54c23a268.jpg")</f>
        <v>http://cdn.wpsstatic.com/images/full/608c-572a54c23a268.jpg</v>
      </c>
      <c r="B880" s="5" t="s">
        <v>880</v>
      </c>
    </row>
    <row r="881" spans="1:2" x14ac:dyDescent="0.2">
      <c r="A881" s="4" t="str">
        <f>HYPERLINK("http://cdn.wpsstatic.com/images/full/609c-572a53a299a21.jpg", "http://cdn.wpsstatic.com/images/full/609c-572a53a299a21.jpg")</f>
        <v>http://cdn.wpsstatic.com/images/full/609c-572a53a299a21.jpg</v>
      </c>
      <c r="B881" s="5" t="s">
        <v>881</v>
      </c>
    </row>
    <row r="882" spans="1:2" x14ac:dyDescent="0.2">
      <c r="A882" s="4" t="str">
        <f>HYPERLINK("http://cdn.wpsstatic.com/images/full/60b8-572a553367b1e.jpg", "http://cdn.wpsstatic.com/images/full/60b8-572a553367b1e.jpg")</f>
        <v>http://cdn.wpsstatic.com/images/full/60b8-572a553367b1e.jpg</v>
      </c>
      <c r="B882" s="5" t="s">
        <v>882</v>
      </c>
    </row>
    <row r="883" spans="1:2" x14ac:dyDescent="0.2">
      <c r="A883" s="4" t="str">
        <f>HYPERLINK("http://cdn.wpsstatic.com/images/full/60ea-572a5378f010b.jpg", "http://cdn.wpsstatic.com/images/full/60ea-572a5378f010b.jpg")</f>
        <v>http://cdn.wpsstatic.com/images/full/60ea-572a5378f010b.jpg</v>
      </c>
      <c r="B883" s="5" t="s">
        <v>883</v>
      </c>
    </row>
    <row r="884" spans="1:2" x14ac:dyDescent="0.2">
      <c r="A884" s="4" t="str">
        <f>HYPERLINK("http://cdn.wpsstatic.com/images/full/6118-572a554b8d546.jpg", "http://cdn.wpsstatic.com/images/full/6118-572a554b8d546.jpg")</f>
        <v>http://cdn.wpsstatic.com/images/full/6118-572a554b8d546.jpg</v>
      </c>
      <c r="B884" s="5" t="s">
        <v>884</v>
      </c>
    </row>
    <row r="885" spans="1:2" x14ac:dyDescent="0.2">
      <c r="A885" s="4" t="str">
        <f>HYPERLINK("http://cdn.wpsstatic.com/images/full/6148-572a555006933.jpg", "http://cdn.wpsstatic.com/images/full/6148-572a555006933.jpg")</f>
        <v>http://cdn.wpsstatic.com/images/full/6148-572a555006933.jpg</v>
      </c>
      <c r="B885" s="5" t="s">
        <v>885</v>
      </c>
    </row>
    <row r="886" spans="1:2" x14ac:dyDescent="0.2">
      <c r="A886" s="4" t="str">
        <f>HYPERLINK("http://cdn.wpsstatic.com/images/full/6158-572a53a7d6153.jpg", "http://cdn.wpsstatic.com/images/full/6158-572a53a7d6153.jpg")</f>
        <v>http://cdn.wpsstatic.com/images/full/6158-572a53a7d6153.jpg</v>
      </c>
      <c r="B886" s="5" t="s">
        <v>886</v>
      </c>
    </row>
    <row r="887" spans="1:2" x14ac:dyDescent="0.2">
      <c r="A887" s="4" t="str">
        <f>HYPERLINK("http://cdn.wpsstatic.com/images/full/6185-572a5570db31f.jpg", "http://cdn.wpsstatic.com/images/full/6185-572a5570db31f.jpg")</f>
        <v>http://cdn.wpsstatic.com/images/full/6185-572a5570db31f.jpg</v>
      </c>
      <c r="B887" s="5" t="s">
        <v>887</v>
      </c>
    </row>
    <row r="888" spans="1:2" x14ac:dyDescent="0.2">
      <c r="A888" s="4" t="str">
        <f>HYPERLINK("http://cdn.wpsstatic.com/images/full/61d8-63643b28eb722.png", "http://cdn.wpsstatic.com/images/full/61d8-63643b28eb722.png")</f>
        <v>http://cdn.wpsstatic.com/images/full/61d8-63643b28eb722.png</v>
      </c>
      <c r="B888" s="5" t="s">
        <v>888</v>
      </c>
    </row>
    <row r="889" spans="1:2" x14ac:dyDescent="0.2">
      <c r="A889" s="4" t="str">
        <f>HYPERLINK("http://cdn.wpsstatic.com/images/full/61e8-5ecd3c3a6b73b.jpg", "http://cdn.wpsstatic.com/images/full/61e8-5ecd3c3a6b73b.jpg")</f>
        <v>http://cdn.wpsstatic.com/images/full/61e8-5ecd3c3a6b73b.jpg</v>
      </c>
      <c r="B889" s="5" t="s">
        <v>889</v>
      </c>
    </row>
    <row r="890" spans="1:2" x14ac:dyDescent="0.2">
      <c r="A890" s="4" t="str">
        <f>HYPERLINK("http://cdn.wpsstatic.com/images/full/61fe-572a5449d5b67.jpg", "http://cdn.wpsstatic.com/images/full/61fe-572a5449d5b67.jpg")</f>
        <v>http://cdn.wpsstatic.com/images/full/61fe-572a5449d5b67.jpg</v>
      </c>
      <c r="B890" s="5" t="s">
        <v>890</v>
      </c>
    </row>
    <row r="891" spans="1:2" x14ac:dyDescent="0.2">
      <c r="A891" s="4" t="str">
        <f>HYPERLINK("http://cdn.wpsstatic.com/images/full/621f-572a544972a49.jpg", "http://cdn.wpsstatic.com/images/full/621f-572a544972a49.jpg")</f>
        <v>http://cdn.wpsstatic.com/images/full/621f-572a544972a49.jpg</v>
      </c>
      <c r="B891" s="5" t="s">
        <v>891</v>
      </c>
    </row>
    <row r="892" spans="1:2" x14ac:dyDescent="0.2">
      <c r="A892" s="4" t="str">
        <f>HYPERLINK("http://cdn.wpsstatic.com/images/full/6229-572a555ccac6d.jpg", "http://cdn.wpsstatic.com/images/full/6229-572a555ccac6d.jpg")</f>
        <v>http://cdn.wpsstatic.com/images/full/6229-572a555ccac6d.jpg</v>
      </c>
      <c r="B892" s="5" t="s">
        <v>892</v>
      </c>
    </row>
    <row r="893" spans="1:2" x14ac:dyDescent="0.2">
      <c r="A893" s="4" t="str">
        <f>HYPERLINK("http://cdn.wpsstatic.com/images/full/6237-6114348c87c33.jpeg", "http://cdn.wpsstatic.com/images/full/6237-6114348c87c33.jpeg")</f>
        <v>http://cdn.wpsstatic.com/images/full/6237-6114348c87c33.jpeg</v>
      </c>
      <c r="B893" s="5" t="s">
        <v>893</v>
      </c>
    </row>
    <row r="894" spans="1:2" x14ac:dyDescent="0.2">
      <c r="A894" s="4" t="str">
        <f>HYPERLINK("http://cdn.wpsstatic.com/images/full/6247-572a538a10622.jpg", "http://cdn.wpsstatic.com/images/full/6247-572a538a10622.jpg")</f>
        <v>http://cdn.wpsstatic.com/images/full/6247-572a538a10622.jpg</v>
      </c>
      <c r="B894" s="5" t="s">
        <v>894</v>
      </c>
    </row>
    <row r="895" spans="1:2" x14ac:dyDescent="0.2">
      <c r="A895" s="4" t="str">
        <f>HYPERLINK("http://cdn.wpsstatic.com/images/full/626e-5f579fe35c169.jpg", "http://cdn.wpsstatic.com/images/full/626e-5f579fe35c169.jpg")</f>
        <v>http://cdn.wpsstatic.com/images/full/626e-5f579fe35c169.jpg</v>
      </c>
      <c r="B895" s="5" t="s">
        <v>895</v>
      </c>
    </row>
    <row r="896" spans="1:2" x14ac:dyDescent="0.2">
      <c r="A896" s="4" t="str">
        <f>HYPERLINK("http://cdn.wpsstatic.com/images/full/627d-572a5318bc7c0.jpg", "http://cdn.wpsstatic.com/images/full/627d-572a5318bc7c0.jpg")</f>
        <v>http://cdn.wpsstatic.com/images/full/627d-572a5318bc7c0.jpg</v>
      </c>
      <c r="B896" s="5" t="s">
        <v>896</v>
      </c>
    </row>
    <row r="897" spans="1:2" x14ac:dyDescent="0.2">
      <c r="A897" s="4" t="str">
        <f>HYPERLINK("http://cdn.wpsstatic.com/images/full/62b1-5d02989e0b770.jpg", "http://cdn.wpsstatic.com/images/full/62b1-5d02989e0b770.jpg")</f>
        <v>http://cdn.wpsstatic.com/images/full/62b1-5d02989e0b770.jpg</v>
      </c>
      <c r="B897" s="5" t="s">
        <v>897</v>
      </c>
    </row>
    <row r="898" spans="1:2" x14ac:dyDescent="0.2">
      <c r="A898" s="4" t="str">
        <f>HYPERLINK("http://cdn.wpsstatic.com/images/full/62c3-572a542e37510.jpg", "http://cdn.wpsstatic.com/images/full/62c3-572a542e37510.jpg")</f>
        <v>http://cdn.wpsstatic.com/images/full/62c3-572a542e37510.jpg</v>
      </c>
      <c r="B898" s="5" t="s">
        <v>898</v>
      </c>
    </row>
    <row r="899" spans="1:2" x14ac:dyDescent="0.2">
      <c r="A899" s="4" t="str">
        <f>HYPERLINK("http://cdn.wpsstatic.com/images/full/62c7-5885c23f7ec8a.jpg", "http://cdn.wpsstatic.com/images/full/62c7-5885c23f7ec8a.jpg")</f>
        <v>http://cdn.wpsstatic.com/images/full/62c7-5885c23f7ec8a.jpg</v>
      </c>
      <c r="B899" s="5" t="s">
        <v>899</v>
      </c>
    </row>
    <row r="900" spans="1:2" x14ac:dyDescent="0.2">
      <c r="A900" s="4" t="str">
        <f>HYPERLINK("http://cdn.wpsstatic.com/images/full/62fb-572a527f0f32e.jpg", "http://cdn.wpsstatic.com/images/full/62fb-572a527f0f32e.jpg")</f>
        <v>http://cdn.wpsstatic.com/images/full/62fb-572a527f0f32e.jpg</v>
      </c>
      <c r="B900" s="5" t="s">
        <v>900</v>
      </c>
    </row>
    <row r="901" spans="1:2" x14ac:dyDescent="0.2">
      <c r="A901" s="4" t="str">
        <f>HYPERLINK("http://cdn.wpsstatic.com/images/full/630d-60a6a9baaa594.png", "http://cdn.wpsstatic.com/images/full/630d-60a6a9baaa594.png")</f>
        <v>http://cdn.wpsstatic.com/images/full/630d-60a6a9baaa594.png</v>
      </c>
      <c r="B901" s="5" t="s">
        <v>901</v>
      </c>
    </row>
    <row r="902" spans="1:2" x14ac:dyDescent="0.2">
      <c r="A902" s="4" t="str">
        <f>HYPERLINK("http://cdn.wpsstatic.com/images/full/6388-572a536af21ff.jpg", "http://cdn.wpsstatic.com/images/full/6388-572a536af21ff.jpg")</f>
        <v>http://cdn.wpsstatic.com/images/full/6388-572a536af21ff.jpg</v>
      </c>
      <c r="B902" s="5" t="s">
        <v>902</v>
      </c>
    </row>
    <row r="903" spans="1:2" x14ac:dyDescent="0.2">
      <c r="A903" s="4" t="str">
        <f>HYPERLINK("http://cdn.wpsstatic.com/images/full/639e-572a536aa454f.jpg", "http://cdn.wpsstatic.com/images/full/639e-572a536aa454f.jpg")</f>
        <v>http://cdn.wpsstatic.com/images/full/639e-572a536aa454f.jpg</v>
      </c>
      <c r="B903" s="5" t="s">
        <v>903</v>
      </c>
    </row>
    <row r="904" spans="1:2" x14ac:dyDescent="0.2">
      <c r="A904" s="4" t="str">
        <f>HYPERLINK("http://cdn.wpsstatic.com/images/full/63a9-5d028c1f6823e.jpg", "http://cdn.wpsstatic.com/images/full/63a9-5d028c1f6823e.jpg")</f>
        <v>http://cdn.wpsstatic.com/images/full/63a9-5d028c1f6823e.jpg</v>
      </c>
      <c r="B904" s="5" t="s">
        <v>904</v>
      </c>
    </row>
    <row r="905" spans="1:2" x14ac:dyDescent="0.2">
      <c r="A905" s="4" t="str">
        <f>HYPERLINK("http://cdn.wpsstatic.com/images/full/63be-572a54a132f06.jpg", "http://cdn.wpsstatic.com/images/full/63be-572a54a132f06.jpg")</f>
        <v>http://cdn.wpsstatic.com/images/full/63be-572a54a132f06.jpg</v>
      </c>
      <c r="B905" s="5" t="s">
        <v>905</v>
      </c>
    </row>
    <row r="906" spans="1:2" x14ac:dyDescent="0.2">
      <c r="A906" s="4" t="str">
        <f>HYPERLINK("http://cdn.wpsstatic.com/images/full/63cb-572a5521b5a83.jpg", "http://cdn.wpsstatic.com/images/full/63cb-572a5521b5a83.jpg")</f>
        <v>http://cdn.wpsstatic.com/images/full/63cb-572a5521b5a83.jpg</v>
      </c>
      <c r="B906" s="5" t="s">
        <v>906</v>
      </c>
    </row>
    <row r="907" spans="1:2" x14ac:dyDescent="0.2">
      <c r="A907" s="4" t="str">
        <f>HYPERLINK("http://cdn.wpsstatic.com/images/full/63f5-572a525933cff.jpg", "http://cdn.wpsstatic.com/images/full/63f5-572a525933cff.jpg")</f>
        <v>http://cdn.wpsstatic.com/images/full/63f5-572a525933cff.jpg</v>
      </c>
      <c r="B907" s="5" t="s">
        <v>907</v>
      </c>
    </row>
    <row r="908" spans="1:2" x14ac:dyDescent="0.2">
      <c r="A908" s="4" t="str">
        <f>HYPERLINK("http://cdn.wpsstatic.com/images/full/645a-5d029b9f60748.jpg", "http://cdn.wpsstatic.com/images/full/645a-5d029b9f60748.jpg")</f>
        <v>http://cdn.wpsstatic.com/images/full/645a-5d029b9f60748.jpg</v>
      </c>
      <c r="B908" s="5" t="s">
        <v>908</v>
      </c>
    </row>
    <row r="909" spans="1:2" x14ac:dyDescent="0.2">
      <c r="A909" s="4" t="str">
        <f>HYPERLINK("http://cdn.wpsstatic.com/images/full/6460-572a5332d8f0e.jpg", "http://cdn.wpsstatic.com/images/full/6460-572a5332d8f0e.jpg")</f>
        <v>http://cdn.wpsstatic.com/images/full/6460-572a5332d8f0e.jpg</v>
      </c>
      <c r="B909" s="5" t="s">
        <v>909</v>
      </c>
    </row>
    <row r="910" spans="1:2" x14ac:dyDescent="0.2">
      <c r="A910" s="4" t="str">
        <f>HYPERLINK("http://cdn.wpsstatic.com/images/full/647a-6137c2653ee29.jpg", "http://cdn.wpsstatic.com/images/full/647a-6137c2653ee29.jpg")</f>
        <v>http://cdn.wpsstatic.com/images/full/647a-6137c2653ee29.jpg</v>
      </c>
      <c r="B910" s="5" t="s">
        <v>910</v>
      </c>
    </row>
    <row r="911" spans="1:2" x14ac:dyDescent="0.2">
      <c r="A911" s="4" t="str">
        <f>HYPERLINK("http://cdn.wpsstatic.com/images/full/6507-572a536ee2dd3.jpg", "http://cdn.wpsstatic.com/images/full/6507-572a536ee2dd3.jpg")</f>
        <v>http://cdn.wpsstatic.com/images/full/6507-572a536ee2dd3.jpg</v>
      </c>
      <c r="B911" s="5" t="s">
        <v>911</v>
      </c>
    </row>
    <row r="912" spans="1:2" x14ac:dyDescent="0.2">
      <c r="A912" s="4" t="str">
        <f>HYPERLINK("http://cdn.wpsstatic.com/images/full/652b-572a5398337bb.jpg", "http://cdn.wpsstatic.com/images/full/652b-572a5398337bb.jpg")</f>
        <v>http://cdn.wpsstatic.com/images/full/652b-572a5398337bb.jpg</v>
      </c>
      <c r="B912" s="5" t="s">
        <v>912</v>
      </c>
    </row>
    <row r="913" spans="1:2" x14ac:dyDescent="0.2">
      <c r="A913" s="4" t="str">
        <f>HYPERLINK("http://cdn.wpsstatic.com/images/full/656a-572a5437eaa55.jpg", "http://cdn.wpsstatic.com/images/full/656a-572a5437eaa55.jpg")</f>
        <v>http://cdn.wpsstatic.com/images/full/656a-572a5437eaa55.jpg</v>
      </c>
      <c r="B913" s="5" t="s">
        <v>913</v>
      </c>
    </row>
    <row r="914" spans="1:2" x14ac:dyDescent="0.2">
      <c r="A914" s="4" t="str">
        <f>HYPERLINK("http://cdn.wpsstatic.com/images/full/6634-60a6ab8fb49d9.png", "http://cdn.wpsstatic.com/images/full/6634-60a6ab8fb49d9.png")</f>
        <v>http://cdn.wpsstatic.com/images/full/6634-60a6ab8fb49d9.png</v>
      </c>
      <c r="B914" s="5" t="s">
        <v>914</v>
      </c>
    </row>
    <row r="915" spans="1:2" x14ac:dyDescent="0.2">
      <c r="A915" s="4" t="str">
        <f>HYPERLINK("http://cdn.wpsstatic.com/images/full/6650-572a534f43e0a.jpg", "http://cdn.wpsstatic.com/images/full/6650-572a534f43e0a.jpg")</f>
        <v>http://cdn.wpsstatic.com/images/full/6650-572a534f43e0a.jpg</v>
      </c>
      <c r="B915" s="5" t="s">
        <v>915</v>
      </c>
    </row>
    <row r="916" spans="1:2" x14ac:dyDescent="0.2">
      <c r="A916" s="4" t="str">
        <f>HYPERLINK("http://cdn.wpsstatic.com/images/full/666f-572a7500d6b9a.jpg", "http://cdn.wpsstatic.com/images/full/666f-572a7500d6b9a.jpg")</f>
        <v>http://cdn.wpsstatic.com/images/full/666f-572a7500d6b9a.jpg</v>
      </c>
      <c r="B916" s="5" t="s">
        <v>916</v>
      </c>
    </row>
    <row r="917" spans="1:2" x14ac:dyDescent="0.2">
      <c r="A917" s="4" t="str">
        <f>HYPERLINK("http://cdn.wpsstatic.com/images/full/6682-572a563f112f8.jpg", "http://cdn.wpsstatic.com/images/full/6682-572a563f112f8.jpg")</f>
        <v>http://cdn.wpsstatic.com/images/full/6682-572a563f112f8.jpg</v>
      </c>
      <c r="B917" s="5" t="s">
        <v>917</v>
      </c>
    </row>
    <row r="918" spans="1:2" x14ac:dyDescent="0.2">
      <c r="A918" s="4" t="str">
        <f>HYPERLINK("http://cdn.wpsstatic.com/images/full/66b6-572a535123976.jpg", "http://cdn.wpsstatic.com/images/full/66b6-572a535123976.jpg")</f>
        <v>http://cdn.wpsstatic.com/images/full/66b6-572a535123976.jpg</v>
      </c>
      <c r="B918" s="5" t="s">
        <v>918</v>
      </c>
    </row>
    <row r="919" spans="1:2" x14ac:dyDescent="0.2">
      <c r="A919" s="4" t="str">
        <f>HYPERLINK("http://cdn.wpsstatic.com/images/full/66c0-5d029b785ec07.jpg", "http://cdn.wpsstatic.com/images/full/66c0-5d029b785ec07.jpg")</f>
        <v>http://cdn.wpsstatic.com/images/full/66c0-5d029b785ec07.jpg</v>
      </c>
      <c r="B919" s="5" t="s">
        <v>919</v>
      </c>
    </row>
    <row r="920" spans="1:2" x14ac:dyDescent="0.2">
      <c r="A920" s="4" t="str">
        <f>HYPERLINK("http://cdn.wpsstatic.com/images/full/671b-5f5791b169832.jpg", "http://cdn.wpsstatic.com/images/full/671b-5f5791b169832.jpg")</f>
        <v>http://cdn.wpsstatic.com/images/full/671b-5f5791b169832.jpg</v>
      </c>
      <c r="B920" s="5" t="s">
        <v>920</v>
      </c>
    </row>
    <row r="921" spans="1:2" x14ac:dyDescent="0.2">
      <c r="A921" s="4" t="str">
        <f>HYPERLINK("http://cdn.wpsstatic.com/images/full/6750-572a53f0c4f93.jpg", "http://cdn.wpsstatic.com/images/full/6750-572a53f0c4f93.jpg")</f>
        <v>http://cdn.wpsstatic.com/images/full/6750-572a53f0c4f93.jpg</v>
      </c>
      <c r="B921" s="5" t="s">
        <v>921</v>
      </c>
    </row>
    <row r="922" spans="1:2" x14ac:dyDescent="0.2">
      <c r="A922" s="4" t="str">
        <f>HYPERLINK("http://cdn.wpsstatic.com/images/full/6751-572a5284b16f9.jpg", "http://cdn.wpsstatic.com/images/full/6751-572a5284b16f9.jpg")</f>
        <v>http://cdn.wpsstatic.com/images/full/6751-572a5284b16f9.jpg</v>
      </c>
      <c r="B922" s="5" t="s">
        <v>922</v>
      </c>
    </row>
    <row r="923" spans="1:2" x14ac:dyDescent="0.2">
      <c r="A923" s="4" t="str">
        <f>HYPERLINK("http://cdn.wpsstatic.com/images/full/6752-572a54044e5a1.jpg", "http://cdn.wpsstatic.com/images/full/6752-572a54044e5a1.jpg")</f>
        <v>http://cdn.wpsstatic.com/images/full/6752-572a54044e5a1.jpg</v>
      </c>
      <c r="B923" s="5" t="s">
        <v>923</v>
      </c>
    </row>
    <row r="924" spans="1:2" x14ac:dyDescent="0.2">
      <c r="A924" s="4" t="str">
        <f>HYPERLINK("http://cdn.wpsstatic.com/images/full/6782-572a53a42fb82.jpg", "http://cdn.wpsstatic.com/images/full/6782-572a53a42fb82.jpg")</f>
        <v>http://cdn.wpsstatic.com/images/full/6782-572a53a42fb82.jpg</v>
      </c>
      <c r="B924" s="5" t="s">
        <v>924</v>
      </c>
    </row>
    <row r="925" spans="1:2" x14ac:dyDescent="0.2">
      <c r="A925" s="4" t="str">
        <f>HYPERLINK("http://cdn.wpsstatic.com/images/full/67f7-572a5623af1f1.jpg", "http://cdn.wpsstatic.com/images/full/67f7-572a5623af1f1.jpg")</f>
        <v>http://cdn.wpsstatic.com/images/full/67f7-572a5623af1f1.jpg</v>
      </c>
      <c r="B925" s="5" t="s">
        <v>925</v>
      </c>
    </row>
    <row r="926" spans="1:2" x14ac:dyDescent="0.2">
      <c r="A926" s="4" t="str">
        <f>HYPERLINK("http://cdn.wpsstatic.com/images/full/67f9-5d029e0c2f7a0.jpg", "http://cdn.wpsstatic.com/images/full/67f9-5d029e0c2f7a0.jpg")</f>
        <v>http://cdn.wpsstatic.com/images/full/67f9-5d029e0c2f7a0.jpg</v>
      </c>
      <c r="B926" s="5" t="s">
        <v>926</v>
      </c>
    </row>
    <row r="927" spans="1:2" x14ac:dyDescent="0.2">
      <c r="A927" s="4" t="str">
        <f>HYPERLINK("http://cdn.wpsstatic.com/images/full/6803-572a5367e502e.jpg", "http://cdn.wpsstatic.com/images/full/6803-572a5367e502e.jpg")</f>
        <v>http://cdn.wpsstatic.com/images/full/6803-572a5367e502e.jpg</v>
      </c>
      <c r="B927" s="5" t="s">
        <v>927</v>
      </c>
    </row>
    <row r="928" spans="1:2" x14ac:dyDescent="0.2">
      <c r="A928" s="4" t="str">
        <f>HYPERLINK("http://cdn.wpsstatic.com/images/full/680b-572a533d2a8c8.jpg", "http://cdn.wpsstatic.com/images/full/680b-572a533d2a8c8.jpg")</f>
        <v>http://cdn.wpsstatic.com/images/full/680b-572a533d2a8c8.jpg</v>
      </c>
      <c r="B928" s="5" t="s">
        <v>928</v>
      </c>
    </row>
    <row r="929" spans="1:2" x14ac:dyDescent="0.2">
      <c r="A929" s="4" t="str">
        <f>HYPERLINK("http://cdn.wpsstatic.com/images/full/6832-5e713a3c5f8fa.jpg", "http://cdn.wpsstatic.com/images/full/6832-5e713a3c5f8fa.jpg")</f>
        <v>http://cdn.wpsstatic.com/images/full/6832-5e713a3c5f8fa.jpg</v>
      </c>
      <c r="B929" s="5" t="s">
        <v>929</v>
      </c>
    </row>
    <row r="930" spans="1:2" x14ac:dyDescent="0.2">
      <c r="A930" s="4" t="str">
        <f>HYPERLINK("http://cdn.wpsstatic.com/images/full/6865-60abb517d0dca.png", "http://cdn.wpsstatic.com/images/full/6865-60abb517d0dca.png")</f>
        <v>http://cdn.wpsstatic.com/images/full/6865-60abb517d0dca.png</v>
      </c>
      <c r="B930" s="5" t="s">
        <v>930</v>
      </c>
    </row>
    <row r="931" spans="1:2" x14ac:dyDescent="0.2">
      <c r="A931" s="4" t="str">
        <f>HYPERLINK("http://cdn.wpsstatic.com/images/full/6866-5e023aaada007.jpg", "http://cdn.wpsstatic.com/images/full/6866-5e023aaada007.jpg")</f>
        <v>http://cdn.wpsstatic.com/images/full/6866-5e023aaada007.jpg</v>
      </c>
      <c r="B931" s="5" t="s">
        <v>931</v>
      </c>
    </row>
    <row r="932" spans="1:2" x14ac:dyDescent="0.2">
      <c r="A932" s="4" t="str">
        <f>HYPERLINK("http://cdn.wpsstatic.com/images/full/687e-572a54f01ed35.jpg", "http://cdn.wpsstatic.com/images/full/687e-572a54f01ed35.jpg")</f>
        <v>http://cdn.wpsstatic.com/images/full/687e-572a54f01ed35.jpg</v>
      </c>
      <c r="B932" s="5" t="s">
        <v>932</v>
      </c>
    </row>
    <row r="933" spans="1:2" x14ac:dyDescent="0.2">
      <c r="A933" s="4" t="str">
        <f>HYPERLINK("http://cdn.wpsstatic.com/images/full/68c2-572a562186628.jpg", "http://cdn.wpsstatic.com/images/full/68c2-572a562186628.jpg")</f>
        <v>http://cdn.wpsstatic.com/images/full/68c2-572a562186628.jpg</v>
      </c>
      <c r="B933" s="5" t="s">
        <v>933</v>
      </c>
    </row>
    <row r="934" spans="1:2" x14ac:dyDescent="0.2">
      <c r="A934" s="4" t="str">
        <f>HYPERLINK("http://cdn.wpsstatic.com/images/full/68d5-572a536f6426e.jpg", "http://cdn.wpsstatic.com/images/full/68d5-572a536f6426e.jpg")</f>
        <v>http://cdn.wpsstatic.com/images/full/68d5-572a536f6426e.jpg</v>
      </c>
      <c r="B934" s="5" t="s">
        <v>934</v>
      </c>
    </row>
    <row r="935" spans="1:2" x14ac:dyDescent="0.2">
      <c r="A935" s="4" t="str">
        <f>HYPERLINK("http://cdn.wpsstatic.com/images/full/68d9-572a52fbb19c9.jpg", "http://cdn.wpsstatic.com/images/full/68d9-572a52fbb19c9.jpg")</f>
        <v>http://cdn.wpsstatic.com/images/full/68d9-572a52fbb19c9.jpg</v>
      </c>
      <c r="B935" s="5" t="s">
        <v>935</v>
      </c>
    </row>
    <row r="936" spans="1:2" x14ac:dyDescent="0.2">
      <c r="A936" s="4" t="str">
        <f>HYPERLINK("http://cdn.wpsstatic.com/images/full/68f3-572a56366f49d.jpg", "http://cdn.wpsstatic.com/images/full/68f3-572a56366f49d.jpg")</f>
        <v>http://cdn.wpsstatic.com/images/full/68f3-572a56366f49d.jpg</v>
      </c>
      <c r="B936" s="5" t="s">
        <v>936</v>
      </c>
    </row>
    <row r="937" spans="1:2" x14ac:dyDescent="0.2">
      <c r="A937" s="4" t="str">
        <f>HYPERLINK("http://cdn.wpsstatic.com/images/full/68ff-572a5639986ff.jpg", "http://cdn.wpsstatic.com/images/full/68ff-572a5639986ff.jpg")</f>
        <v>http://cdn.wpsstatic.com/images/full/68ff-572a5639986ff.jpg</v>
      </c>
      <c r="B937" s="5" t="s">
        <v>937</v>
      </c>
    </row>
    <row r="938" spans="1:2" x14ac:dyDescent="0.2">
      <c r="A938" s="4" t="str">
        <f>HYPERLINK("http://cdn.wpsstatic.com/images/full/6913-572a52b3d48ba.jpg", "http://cdn.wpsstatic.com/images/full/6913-572a52b3d48ba.jpg")</f>
        <v>http://cdn.wpsstatic.com/images/full/6913-572a52b3d48ba.jpg</v>
      </c>
      <c r="B938" s="5" t="s">
        <v>938</v>
      </c>
    </row>
    <row r="939" spans="1:2" x14ac:dyDescent="0.2">
      <c r="A939" s="4" t="str">
        <f>HYPERLINK("http://cdn.wpsstatic.com/images/full/6916-5d7902bcc8025.jpg", "http://cdn.wpsstatic.com/images/full/6916-5d7902bcc8025.jpg")</f>
        <v>http://cdn.wpsstatic.com/images/full/6916-5d7902bcc8025.jpg</v>
      </c>
      <c r="B939" s="5" t="s">
        <v>939</v>
      </c>
    </row>
    <row r="940" spans="1:2" x14ac:dyDescent="0.2">
      <c r="A940" s="4" t="str">
        <f>HYPERLINK("http://cdn.wpsstatic.com/images/full/696c-5d028f7a6b439.jpg", "http://cdn.wpsstatic.com/images/full/696c-5d028f7a6b439.jpg")</f>
        <v>http://cdn.wpsstatic.com/images/full/696c-5d028f7a6b439.jpg</v>
      </c>
      <c r="B940" s="5" t="s">
        <v>940</v>
      </c>
    </row>
    <row r="941" spans="1:2" x14ac:dyDescent="0.2">
      <c r="A941" s="4" t="str">
        <f>HYPERLINK("http://cdn.wpsstatic.com/images/full/6976-572a544ade583.jpg", "http://cdn.wpsstatic.com/images/full/6976-572a544ade583.jpg")</f>
        <v>http://cdn.wpsstatic.com/images/full/6976-572a544ade583.jpg</v>
      </c>
      <c r="B941" s="5" t="s">
        <v>941</v>
      </c>
    </row>
    <row r="942" spans="1:2" x14ac:dyDescent="0.2">
      <c r="A942" s="4" t="str">
        <f>HYPERLINK("http://cdn.wpsstatic.com/images/full/698a-5a26efea297a3.jpg", "http://cdn.wpsstatic.com/images/full/698a-5a26efea297a3.jpg")</f>
        <v>http://cdn.wpsstatic.com/images/full/698a-5a26efea297a3.jpg</v>
      </c>
      <c r="B942" s="5" t="s">
        <v>942</v>
      </c>
    </row>
    <row r="943" spans="1:2" x14ac:dyDescent="0.2">
      <c r="A943" s="4" t="str">
        <f>HYPERLINK("http://cdn.wpsstatic.com/images/full/69cc-572a5308bb1f9.jpg", "http://cdn.wpsstatic.com/images/full/69cc-572a5308bb1f9.jpg")</f>
        <v>http://cdn.wpsstatic.com/images/full/69cc-572a5308bb1f9.jpg</v>
      </c>
      <c r="B943" s="5" t="s">
        <v>943</v>
      </c>
    </row>
    <row r="944" spans="1:2" x14ac:dyDescent="0.2">
      <c r="A944" s="4" t="str">
        <f>HYPERLINK("http://cdn.wpsstatic.com/images/full/69dc-572a55049af8c.jpg", "http://cdn.wpsstatic.com/images/full/69dc-572a55049af8c.jpg")</f>
        <v>http://cdn.wpsstatic.com/images/full/69dc-572a55049af8c.jpg</v>
      </c>
      <c r="B944" s="5" t="s">
        <v>944</v>
      </c>
    </row>
    <row r="945" spans="1:2" x14ac:dyDescent="0.2">
      <c r="A945" s="4" t="str">
        <f>HYPERLINK("http://cdn.wpsstatic.com/images/full/69fe-572a54ac24e6a.jpg", "http://cdn.wpsstatic.com/images/full/69fe-572a54ac24e6a.jpg")</f>
        <v>http://cdn.wpsstatic.com/images/full/69fe-572a54ac24e6a.jpg</v>
      </c>
      <c r="B945" s="5" t="s">
        <v>945</v>
      </c>
    </row>
    <row r="946" spans="1:2" x14ac:dyDescent="0.2">
      <c r="A946" s="4" t="str">
        <f>HYPERLINK("http://cdn.wpsstatic.com/images/full/6a0c-572a54c992809.jpg", "http://cdn.wpsstatic.com/images/full/6a0c-572a54c992809.jpg")</f>
        <v>http://cdn.wpsstatic.com/images/full/6a0c-572a54c992809.jpg</v>
      </c>
      <c r="B946" s="5" t="s">
        <v>946</v>
      </c>
    </row>
    <row r="947" spans="1:2" x14ac:dyDescent="0.2">
      <c r="A947" s="4" t="str">
        <f>HYPERLINK("http://cdn.wpsstatic.com/images/full/6a24-572a5347914b2.jpg", "http://cdn.wpsstatic.com/images/full/6a24-572a5347914b2.jpg")</f>
        <v>http://cdn.wpsstatic.com/images/full/6a24-572a5347914b2.jpg</v>
      </c>
      <c r="B947" s="5" t="s">
        <v>947</v>
      </c>
    </row>
    <row r="948" spans="1:2" x14ac:dyDescent="0.2">
      <c r="A948" s="4" t="str">
        <f>HYPERLINK("http://cdn.wpsstatic.com/images/full/6a34-6171d7977480e.png", "http://cdn.wpsstatic.com/images/full/6a34-6171d7977480e.png")</f>
        <v>http://cdn.wpsstatic.com/images/full/6a34-6171d7977480e.png</v>
      </c>
      <c r="B948" s="5" t="s">
        <v>948</v>
      </c>
    </row>
    <row r="949" spans="1:2" x14ac:dyDescent="0.2">
      <c r="A949" s="4" t="str">
        <f>HYPERLINK("http://cdn.wpsstatic.com/images/full/6a3a-572a532f2e4da.jpg", "http://cdn.wpsstatic.com/images/full/6a3a-572a532f2e4da.jpg")</f>
        <v>http://cdn.wpsstatic.com/images/full/6a3a-572a532f2e4da.jpg</v>
      </c>
      <c r="B949" s="5" t="s">
        <v>949</v>
      </c>
    </row>
    <row r="950" spans="1:2" x14ac:dyDescent="0.2">
      <c r="A950" s="4" t="str">
        <f>HYPERLINK("http://cdn.wpsstatic.com/images/full/6a66-6040fdc6015d2.jpg", "http://cdn.wpsstatic.com/images/full/6a66-6040fdc6015d2.jpg")</f>
        <v>http://cdn.wpsstatic.com/images/full/6a66-6040fdc6015d2.jpg</v>
      </c>
      <c r="B950" s="5" t="s">
        <v>950</v>
      </c>
    </row>
    <row r="951" spans="1:2" x14ac:dyDescent="0.2">
      <c r="A951" s="4" t="str">
        <f>HYPERLINK("http://cdn.wpsstatic.com/images/full/6a7d-572a540ef02ca.jpg", "http://cdn.wpsstatic.com/images/full/6a7d-572a540ef02ca.jpg")</f>
        <v>http://cdn.wpsstatic.com/images/full/6a7d-572a540ef02ca.jpg</v>
      </c>
      <c r="B951" s="5" t="s">
        <v>951</v>
      </c>
    </row>
    <row r="952" spans="1:2" x14ac:dyDescent="0.2">
      <c r="A952" s="4" t="str">
        <f>HYPERLINK("http://cdn.wpsstatic.com/images/full/6a86-5885c218b2ccc.jpg", "http://cdn.wpsstatic.com/images/full/6a86-5885c218b2ccc.jpg")</f>
        <v>http://cdn.wpsstatic.com/images/full/6a86-5885c218b2ccc.jpg</v>
      </c>
      <c r="B952" s="5" t="s">
        <v>952</v>
      </c>
    </row>
    <row r="953" spans="1:2" x14ac:dyDescent="0.2">
      <c r="A953" s="4" t="str">
        <f>HYPERLINK("http://cdn.wpsstatic.com/images/full/6a8b-572a552d9bb55.jpg", "http://cdn.wpsstatic.com/images/full/6a8b-572a552d9bb55.jpg")</f>
        <v>http://cdn.wpsstatic.com/images/full/6a8b-572a552d9bb55.jpg</v>
      </c>
      <c r="B953" s="5" t="s">
        <v>953</v>
      </c>
    </row>
    <row r="954" spans="1:2" x14ac:dyDescent="0.2">
      <c r="A954" s="4" t="str">
        <f>HYPERLINK("http://cdn.wpsstatic.com/images/full/6aa8-572a5356d8a98.jpg", "http://cdn.wpsstatic.com/images/full/6aa8-572a5356d8a98.jpg")</f>
        <v>http://cdn.wpsstatic.com/images/full/6aa8-572a5356d8a98.jpg</v>
      </c>
      <c r="B954" s="5" t="s">
        <v>954</v>
      </c>
    </row>
    <row r="955" spans="1:2" x14ac:dyDescent="0.2">
      <c r="A955" s="4" t="str">
        <f>HYPERLINK("http://cdn.wpsstatic.com/images/full/6aa8-572a5370cbdcd.jpg", "http://cdn.wpsstatic.com/images/full/6aa8-572a5370cbdcd.jpg")</f>
        <v>http://cdn.wpsstatic.com/images/full/6aa8-572a5370cbdcd.jpg</v>
      </c>
      <c r="B955" s="5" t="s">
        <v>955</v>
      </c>
    </row>
    <row r="956" spans="1:2" x14ac:dyDescent="0.2">
      <c r="A956" s="4" t="str">
        <f>HYPERLINK("http://cdn.wpsstatic.com/images/full/6ab3-5d029689bcbc6.jpg", "http://cdn.wpsstatic.com/images/full/6ab3-5d029689bcbc6.jpg")</f>
        <v>http://cdn.wpsstatic.com/images/full/6ab3-5d029689bcbc6.jpg</v>
      </c>
      <c r="B956" s="5" t="s">
        <v>956</v>
      </c>
    </row>
    <row r="957" spans="1:2" x14ac:dyDescent="0.2">
      <c r="A957" s="4" t="str">
        <f>HYPERLINK("http://cdn.wpsstatic.com/images/full/6aea-572a553c302e5.jpg", "http://cdn.wpsstatic.com/images/full/6aea-572a553c302e5.jpg")</f>
        <v>http://cdn.wpsstatic.com/images/full/6aea-572a553c302e5.jpg</v>
      </c>
      <c r="B957" s="5" t="s">
        <v>957</v>
      </c>
    </row>
    <row r="958" spans="1:2" x14ac:dyDescent="0.2">
      <c r="A958" s="4" t="str">
        <f>HYPERLINK("http://cdn.wpsstatic.com/images/full/6b08-572a530befa3f.jpg", "http://cdn.wpsstatic.com/images/full/6b08-572a530befa3f.jpg")</f>
        <v>http://cdn.wpsstatic.com/images/full/6b08-572a530befa3f.jpg</v>
      </c>
      <c r="B958" s="5" t="s">
        <v>958</v>
      </c>
    </row>
    <row r="959" spans="1:2" x14ac:dyDescent="0.2">
      <c r="A959" s="4" t="str">
        <f>HYPERLINK("http://cdn.wpsstatic.com/images/full/6b09-572a5541326d4.jpg", "http://cdn.wpsstatic.com/images/full/6b09-572a5541326d4.jpg")</f>
        <v>http://cdn.wpsstatic.com/images/full/6b09-572a5541326d4.jpg</v>
      </c>
      <c r="B959" s="5" t="s">
        <v>959</v>
      </c>
    </row>
    <row r="960" spans="1:2" x14ac:dyDescent="0.2">
      <c r="A960" s="4" t="str">
        <f>HYPERLINK("http://cdn.wpsstatic.com/images/full/6b0e-5f578b1149cea.jpg", "http://cdn.wpsstatic.com/images/full/6b0e-5f578b1149cea.jpg")</f>
        <v>http://cdn.wpsstatic.com/images/full/6b0e-5f578b1149cea.jpg</v>
      </c>
      <c r="B960" s="5" t="s">
        <v>960</v>
      </c>
    </row>
    <row r="961" spans="1:2" x14ac:dyDescent="0.2">
      <c r="A961" s="4" t="str">
        <f>HYPERLINK("http://cdn.wpsstatic.com/images/full/6b56-5f57803e6876f.jpg", "http://cdn.wpsstatic.com/images/full/6b56-5f57803e6876f.jpg")</f>
        <v>http://cdn.wpsstatic.com/images/full/6b56-5f57803e6876f.jpg</v>
      </c>
      <c r="B961" s="5" t="s">
        <v>961</v>
      </c>
    </row>
    <row r="962" spans="1:2" x14ac:dyDescent="0.2">
      <c r="A962" s="4" t="str">
        <f>HYPERLINK("http://cdn.wpsstatic.com/images/full/6b57-572a532d3bcdf.jpg", "http://cdn.wpsstatic.com/images/full/6b57-572a532d3bcdf.jpg")</f>
        <v>http://cdn.wpsstatic.com/images/full/6b57-572a532d3bcdf.jpg</v>
      </c>
      <c r="B962" s="5" t="s">
        <v>962</v>
      </c>
    </row>
    <row r="963" spans="1:2" x14ac:dyDescent="0.2">
      <c r="A963" s="4" t="str">
        <f>HYPERLINK("http://cdn.wpsstatic.com/images/full/6b58-572a52f97b270.jpg", "http://cdn.wpsstatic.com/images/full/6b58-572a52f97b270.jpg")</f>
        <v>http://cdn.wpsstatic.com/images/full/6b58-572a52f97b270.jpg</v>
      </c>
      <c r="B963" s="5" t="s">
        <v>963</v>
      </c>
    </row>
    <row r="964" spans="1:2" x14ac:dyDescent="0.2">
      <c r="A964" s="4" t="str">
        <f>HYPERLINK("http://cdn.wpsstatic.com/images/full/6b5b-572a555ab09ed.jpg", "http://cdn.wpsstatic.com/images/full/6b5b-572a555ab09ed.jpg")</f>
        <v>http://cdn.wpsstatic.com/images/full/6b5b-572a555ab09ed.jpg</v>
      </c>
      <c r="B964" s="5" t="s">
        <v>964</v>
      </c>
    </row>
    <row r="965" spans="1:2" x14ac:dyDescent="0.2">
      <c r="A965" s="4" t="str">
        <f>HYPERLINK("http://cdn.wpsstatic.com/images/full/6b74-6040fd7ca20a8.jpg", "http://cdn.wpsstatic.com/images/full/6b74-6040fd7ca20a8.jpg")</f>
        <v>http://cdn.wpsstatic.com/images/full/6b74-6040fd7ca20a8.jpg</v>
      </c>
      <c r="B965" s="5" t="s">
        <v>965</v>
      </c>
    </row>
    <row r="966" spans="1:2" x14ac:dyDescent="0.2">
      <c r="A966" s="4" t="str">
        <f>HYPERLINK("http://cdn.wpsstatic.com/images/full/6b9f-572a5316d1fa4.jpg", "http://cdn.wpsstatic.com/images/full/6b9f-572a5316d1fa4.jpg")</f>
        <v>http://cdn.wpsstatic.com/images/full/6b9f-572a5316d1fa4.jpg</v>
      </c>
      <c r="B966" s="5" t="s">
        <v>966</v>
      </c>
    </row>
    <row r="967" spans="1:2" x14ac:dyDescent="0.2">
      <c r="A967" s="4" t="str">
        <f>HYPERLINK("http://cdn.wpsstatic.com/images/full/6bc3-572a537c68626.jpg", "http://cdn.wpsstatic.com/images/full/6bc3-572a537c68626.jpg")</f>
        <v>http://cdn.wpsstatic.com/images/full/6bc3-572a537c68626.jpg</v>
      </c>
      <c r="B967" s="5" t="s">
        <v>967</v>
      </c>
    </row>
    <row r="968" spans="1:2" x14ac:dyDescent="0.2">
      <c r="A968" s="4" t="str">
        <f>HYPERLINK("http://cdn.wpsstatic.com/images/full/6bce-5f32a5b31cc6c.jpg", "http://cdn.wpsstatic.com/images/full/6bce-5f32a5b31cc6c.jpg")</f>
        <v>http://cdn.wpsstatic.com/images/full/6bce-5f32a5b31cc6c.jpg</v>
      </c>
      <c r="B968" s="5" t="s">
        <v>968</v>
      </c>
    </row>
    <row r="969" spans="1:2" x14ac:dyDescent="0.2">
      <c r="A969" s="4" t="str">
        <f>HYPERLINK("http://cdn.wpsstatic.com/images/full/6bd8-5d029ac1c3809.jpg", "http://cdn.wpsstatic.com/images/full/6bd8-5d029ac1c3809.jpg")</f>
        <v>http://cdn.wpsstatic.com/images/full/6bd8-5d029ac1c3809.jpg</v>
      </c>
      <c r="B969" s="5" t="s">
        <v>969</v>
      </c>
    </row>
    <row r="970" spans="1:2" x14ac:dyDescent="0.2">
      <c r="A970" s="4" t="str">
        <f>HYPERLINK("http://cdn.wpsstatic.com/images/full/6beb-572a538693fd3.jpg", "http://cdn.wpsstatic.com/images/full/6beb-572a538693fd3.jpg")</f>
        <v>http://cdn.wpsstatic.com/images/full/6beb-572a538693fd3.jpg</v>
      </c>
      <c r="B970" s="5" t="s">
        <v>970</v>
      </c>
    </row>
    <row r="971" spans="1:2" x14ac:dyDescent="0.2">
      <c r="A971" s="4" t="str">
        <f>HYPERLINK("http://cdn.wpsstatic.com/images/full/6c2a-572a52c241d7a.jpg", "http://cdn.wpsstatic.com/images/full/6c2a-572a52c241d7a.jpg")</f>
        <v>http://cdn.wpsstatic.com/images/full/6c2a-572a52c241d7a.jpg</v>
      </c>
      <c r="B971" s="5" t="s">
        <v>971</v>
      </c>
    </row>
    <row r="972" spans="1:2" x14ac:dyDescent="0.2">
      <c r="A972" s="4" t="str">
        <f>HYPERLINK("http://cdn.wpsstatic.com/images/full/6c83-572a55866ed42.jpg", "http://cdn.wpsstatic.com/images/full/6c83-572a55866ed42.jpg")</f>
        <v>http://cdn.wpsstatic.com/images/full/6c83-572a55866ed42.jpg</v>
      </c>
      <c r="B972" s="5" t="s">
        <v>972</v>
      </c>
    </row>
    <row r="973" spans="1:2" x14ac:dyDescent="0.2">
      <c r="A973" s="4" t="str">
        <f>HYPERLINK("http://cdn.wpsstatic.com/images/full/6c99-5885c1dacf6c8.jpg", "http://cdn.wpsstatic.com/images/full/6c99-5885c1dacf6c8.jpg")</f>
        <v>http://cdn.wpsstatic.com/images/full/6c99-5885c1dacf6c8.jpg</v>
      </c>
      <c r="B973" s="5" t="s">
        <v>973</v>
      </c>
    </row>
    <row r="974" spans="1:2" x14ac:dyDescent="0.2">
      <c r="A974" s="4" t="str">
        <f>HYPERLINK("http://cdn.wpsstatic.com/images/full/6cb5-572a53c8bc912.jpg", "http://cdn.wpsstatic.com/images/full/6cb5-572a53c8bc912.jpg")</f>
        <v>http://cdn.wpsstatic.com/images/full/6cb5-572a53c8bc912.jpg</v>
      </c>
      <c r="B974" s="5" t="s">
        <v>974</v>
      </c>
    </row>
    <row r="975" spans="1:2" x14ac:dyDescent="0.2">
      <c r="A975" s="4" t="str">
        <f>HYPERLINK("http://cdn.wpsstatic.com/images/full/6cfa-572a559554812.jpg", "http://cdn.wpsstatic.com/images/full/6cfa-572a559554812.jpg")</f>
        <v>http://cdn.wpsstatic.com/images/full/6cfa-572a559554812.jpg</v>
      </c>
      <c r="B975" s="5" t="s">
        <v>975</v>
      </c>
    </row>
    <row r="976" spans="1:2" x14ac:dyDescent="0.2">
      <c r="A976" s="4" t="str">
        <f>HYPERLINK("http://cdn.wpsstatic.com/images/full/6d0d-572a537cd44d7.jpg", "http://cdn.wpsstatic.com/images/full/6d0d-572a537cd44d7.jpg")</f>
        <v>http://cdn.wpsstatic.com/images/full/6d0d-572a537cd44d7.jpg</v>
      </c>
      <c r="B976" s="5" t="s">
        <v>976</v>
      </c>
    </row>
    <row r="977" spans="1:2" x14ac:dyDescent="0.2">
      <c r="A977" s="4" t="str">
        <f>HYPERLINK("http://cdn.wpsstatic.com/images/full/6d22-60abb48701de4.png", "http://cdn.wpsstatic.com/images/full/6d22-60abb48701de4.png")</f>
        <v>http://cdn.wpsstatic.com/images/full/6d22-60abb48701de4.png</v>
      </c>
      <c r="B977" s="5" t="s">
        <v>977</v>
      </c>
    </row>
    <row r="978" spans="1:2" x14ac:dyDescent="0.2">
      <c r="A978" s="4" t="str">
        <f>HYPERLINK("http://cdn.wpsstatic.com/images/full/6d2c-572a5434dc70a.jpg", "http://cdn.wpsstatic.com/images/full/6d2c-572a5434dc70a.jpg")</f>
        <v>http://cdn.wpsstatic.com/images/full/6d2c-572a5434dc70a.jpg</v>
      </c>
      <c r="B978" s="5" t="s">
        <v>978</v>
      </c>
    </row>
    <row r="979" spans="1:2" x14ac:dyDescent="0.2">
      <c r="A979" s="4" t="str">
        <f>HYPERLINK("http://cdn.wpsstatic.com/images/full/6d2e-572a56255e8b9.jpg", "http://cdn.wpsstatic.com/images/full/6d2e-572a56255e8b9.jpg")</f>
        <v>http://cdn.wpsstatic.com/images/full/6d2e-572a56255e8b9.jpg</v>
      </c>
      <c r="B979" s="5" t="s">
        <v>979</v>
      </c>
    </row>
    <row r="980" spans="1:2" x14ac:dyDescent="0.2">
      <c r="A980" s="4" t="str">
        <f>HYPERLINK("http://cdn.wpsstatic.com/images/full/6d6a-572a555644821.jpg", "http://cdn.wpsstatic.com/images/full/6d6a-572a555644821.jpg")</f>
        <v>http://cdn.wpsstatic.com/images/full/6d6a-572a555644821.jpg</v>
      </c>
      <c r="B980" s="5" t="s">
        <v>980</v>
      </c>
    </row>
    <row r="981" spans="1:2" x14ac:dyDescent="0.2">
      <c r="A981" s="4" t="str">
        <f>HYPERLINK("http://cdn.wpsstatic.com/images/full/6d8c-572a54edc0dcf.jpg", "http://cdn.wpsstatic.com/images/full/6d8c-572a54edc0dcf.jpg")</f>
        <v>http://cdn.wpsstatic.com/images/full/6d8c-572a54edc0dcf.jpg</v>
      </c>
      <c r="B981" s="5" t="s">
        <v>981</v>
      </c>
    </row>
    <row r="982" spans="1:2" x14ac:dyDescent="0.2">
      <c r="A982" s="4" t="str">
        <f>HYPERLINK("http://cdn.wpsstatic.com/images/full/6d9c-572a532cb92f7.jpg", "http://cdn.wpsstatic.com/images/full/6d9c-572a532cb92f7.jpg")</f>
        <v>http://cdn.wpsstatic.com/images/full/6d9c-572a532cb92f7.jpg</v>
      </c>
      <c r="B982" s="5" t="s">
        <v>982</v>
      </c>
    </row>
    <row r="983" spans="1:2" x14ac:dyDescent="0.2">
      <c r="A983" s="4" t="str">
        <f>HYPERLINK("http://cdn.wpsstatic.com/images/full/6dd7-572a535622a98.jpg", "http://cdn.wpsstatic.com/images/full/6dd7-572a535622a98.jpg")</f>
        <v>http://cdn.wpsstatic.com/images/full/6dd7-572a535622a98.jpg</v>
      </c>
      <c r="B983" s="5" t="s">
        <v>983</v>
      </c>
    </row>
    <row r="984" spans="1:2" x14ac:dyDescent="0.2">
      <c r="A984" s="4" t="str">
        <f>HYPERLINK("http://cdn.wpsstatic.com/images/full/6dd8-572a529e23014.jpg", "http://cdn.wpsstatic.com/images/full/6dd8-572a529e23014.jpg")</f>
        <v>http://cdn.wpsstatic.com/images/full/6dd8-572a529e23014.jpg</v>
      </c>
      <c r="B984" s="5" t="s">
        <v>984</v>
      </c>
    </row>
    <row r="985" spans="1:2" x14ac:dyDescent="0.2">
      <c r="A985" s="4" t="str">
        <f>HYPERLINK("http://cdn.wpsstatic.com/images/full/6de4-572a54b9b4552.jpg", "http://cdn.wpsstatic.com/images/full/6de4-572a54b9b4552.jpg")</f>
        <v>http://cdn.wpsstatic.com/images/full/6de4-572a54b9b4552.jpg</v>
      </c>
      <c r="B985" s="5" t="s">
        <v>985</v>
      </c>
    </row>
    <row r="986" spans="1:2" x14ac:dyDescent="0.2">
      <c r="A986" s="4" t="str">
        <f>HYPERLINK("http://cdn.wpsstatic.com/images/full/6e09-572a55871d30e.jpg", "http://cdn.wpsstatic.com/images/full/6e09-572a55871d30e.jpg")</f>
        <v>http://cdn.wpsstatic.com/images/full/6e09-572a55871d30e.jpg</v>
      </c>
      <c r="B986" s="5" t="s">
        <v>986</v>
      </c>
    </row>
    <row r="987" spans="1:2" x14ac:dyDescent="0.2">
      <c r="A987" s="4" t="str">
        <f>HYPERLINK("http://cdn.wpsstatic.com/images/full/6e0c-5f5783f344668.jpg", "http://cdn.wpsstatic.com/images/full/6e0c-5f5783f344668.jpg")</f>
        <v>http://cdn.wpsstatic.com/images/full/6e0c-5f5783f344668.jpg</v>
      </c>
      <c r="B987" s="5" t="s">
        <v>987</v>
      </c>
    </row>
    <row r="988" spans="1:2" x14ac:dyDescent="0.2">
      <c r="A988" s="4" t="str">
        <f>HYPERLINK("http://cdn.wpsstatic.com/images/full/6e29-5885c16ada1ad.jpg", "http://cdn.wpsstatic.com/images/full/6e29-5885c16ada1ad.jpg")</f>
        <v>http://cdn.wpsstatic.com/images/full/6e29-5885c16ada1ad.jpg</v>
      </c>
      <c r="B988" s="5" t="s">
        <v>988</v>
      </c>
    </row>
    <row r="989" spans="1:2" x14ac:dyDescent="0.2">
      <c r="A989" s="4" t="str">
        <f>HYPERLINK("http://cdn.wpsstatic.com/images/full/6e5b-572a556bf3a06.jpg", "http://cdn.wpsstatic.com/images/full/6e5b-572a556bf3a06.jpg")</f>
        <v>http://cdn.wpsstatic.com/images/full/6e5b-572a556bf3a06.jpg</v>
      </c>
      <c r="B989" s="5" t="s">
        <v>989</v>
      </c>
    </row>
    <row r="990" spans="1:2" x14ac:dyDescent="0.2">
      <c r="A990" s="4" t="str">
        <f>HYPERLINK("http://cdn.wpsstatic.com/images/full/6eb9-5d0297451c7d7.jpg", "http://cdn.wpsstatic.com/images/full/6eb9-5d0297451c7d7.jpg")</f>
        <v>http://cdn.wpsstatic.com/images/full/6eb9-5d0297451c7d7.jpg</v>
      </c>
      <c r="B990" s="5" t="s">
        <v>990</v>
      </c>
    </row>
    <row r="991" spans="1:2" x14ac:dyDescent="0.2">
      <c r="A991" s="4" t="str">
        <f>HYPERLINK("http://cdn.wpsstatic.com/images/full/6ec8-572a54f90996c.jpg", "http://cdn.wpsstatic.com/images/full/6ec8-572a54f90996c.jpg")</f>
        <v>http://cdn.wpsstatic.com/images/full/6ec8-572a54f90996c.jpg</v>
      </c>
      <c r="B991" s="5" t="s">
        <v>991</v>
      </c>
    </row>
    <row r="992" spans="1:2" x14ac:dyDescent="0.2">
      <c r="A992" s="4" t="str">
        <f>HYPERLINK("http://cdn.wpsstatic.com/images/full/6ecb-5d7905349db46.jpg", "http://cdn.wpsstatic.com/images/full/6ecb-5d7905349db46.jpg")</f>
        <v>http://cdn.wpsstatic.com/images/full/6ecb-5d7905349db46.jpg</v>
      </c>
      <c r="B992" s="5" t="s">
        <v>992</v>
      </c>
    </row>
    <row r="993" spans="1:2" x14ac:dyDescent="0.2">
      <c r="A993" s="4" t="str">
        <f>HYPERLINK("http://cdn.wpsstatic.com/images/full/6f2f-572a52694f217.jpg", "http://cdn.wpsstatic.com/images/full/6f2f-572a52694f217.jpg")</f>
        <v>http://cdn.wpsstatic.com/images/full/6f2f-572a52694f217.jpg</v>
      </c>
      <c r="B993" s="5" t="s">
        <v>993</v>
      </c>
    </row>
    <row r="994" spans="1:2" x14ac:dyDescent="0.2">
      <c r="A994" s="4" t="str">
        <f>HYPERLINK("http://cdn.wpsstatic.com/images/full/6f37-572a537282d35.jpg", "http://cdn.wpsstatic.com/images/full/6f37-572a537282d35.jpg")</f>
        <v>http://cdn.wpsstatic.com/images/full/6f37-572a537282d35.jpg</v>
      </c>
      <c r="B994" s="5" t="s">
        <v>994</v>
      </c>
    </row>
    <row r="995" spans="1:2" x14ac:dyDescent="0.2">
      <c r="A995" s="4" t="str">
        <f>HYPERLINK("http://cdn.wpsstatic.com/images/full/6f37-5885c201ed799.jpg", "http://cdn.wpsstatic.com/images/full/6f37-5885c201ed799.jpg")</f>
        <v>http://cdn.wpsstatic.com/images/full/6f37-5885c201ed799.jpg</v>
      </c>
      <c r="B995" s="5" t="s">
        <v>995</v>
      </c>
    </row>
    <row r="996" spans="1:2" x14ac:dyDescent="0.2">
      <c r="A996" s="4" t="str">
        <f>HYPERLINK("http://cdn.wpsstatic.com/images/full/6f55-58d58f4435bfc.jpg", "http://cdn.wpsstatic.com/images/full/6f55-58d58f4435bfc.jpg")</f>
        <v>http://cdn.wpsstatic.com/images/full/6f55-58d58f4435bfc.jpg</v>
      </c>
      <c r="B996" s="5" t="s">
        <v>996</v>
      </c>
    </row>
    <row r="997" spans="1:2" x14ac:dyDescent="0.2">
      <c r="A997" s="4" t="str">
        <f>HYPERLINK("http://cdn.wpsstatic.com/images/full/6f91-572a53a93b004.jpg", "http://cdn.wpsstatic.com/images/full/6f91-572a53a93b004.jpg")</f>
        <v>http://cdn.wpsstatic.com/images/full/6f91-572a53a93b004.jpg</v>
      </c>
      <c r="B997" s="5" t="s">
        <v>997</v>
      </c>
    </row>
    <row r="998" spans="1:2" x14ac:dyDescent="0.2">
      <c r="A998" s="4" t="str">
        <f>HYPERLINK("http://cdn.wpsstatic.com/images/full/6fa8-572a5572579df.jpg", "http://cdn.wpsstatic.com/images/full/6fa8-572a5572579df.jpg")</f>
        <v>http://cdn.wpsstatic.com/images/full/6fa8-572a5572579df.jpg</v>
      </c>
      <c r="B998" s="5" t="s">
        <v>998</v>
      </c>
    </row>
    <row r="999" spans="1:2" x14ac:dyDescent="0.2">
      <c r="A999" s="4" t="str">
        <f>HYPERLINK("http://cdn.wpsstatic.com/images/full/6fd1-5d02930983917.jpg", "http://cdn.wpsstatic.com/images/full/6fd1-5d02930983917.jpg")</f>
        <v>http://cdn.wpsstatic.com/images/full/6fd1-5d02930983917.jpg</v>
      </c>
      <c r="B999" s="5" t="s">
        <v>999</v>
      </c>
    </row>
    <row r="1000" spans="1:2" x14ac:dyDescent="0.2">
      <c r="A1000" s="4" t="str">
        <f>HYPERLINK("http://cdn.wpsstatic.com/images/full/6fdc-5885c295889aa.jpg", "http://cdn.wpsstatic.com/images/full/6fdc-5885c295889aa.jpg")</f>
        <v>http://cdn.wpsstatic.com/images/full/6fdc-5885c295889aa.jpg</v>
      </c>
      <c r="B1000" s="5" t="s">
        <v>1000</v>
      </c>
    </row>
    <row r="1001" spans="1:2" x14ac:dyDescent="0.2">
      <c r="A1001" s="4" t="str">
        <f>HYPERLINK("http://cdn.wpsstatic.com/images/full/6fe9-572a5578f383d.jpg", "http://cdn.wpsstatic.com/images/full/6fe9-572a5578f383d.jpg")</f>
        <v>http://cdn.wpsstatic.com/images/full/6fe9-572a5578f383d.jpg</v>
      </c>
      <c r="B1001" s="5" t="s">
        <v>1001</v>
      </c>
    </row>
    <row r="1002" spans="1:2" x14ac:dyDescent="0.2">
      <c r="A1002" s="4" t="str">
        <f>HYPERLINK("http://cdn.wpsstatic.com/images/full/6fee-572a539bae7da.jpg", "http://cdn.wpsstatic.com/images/full/6fee-572a539bae7da.jpg")</f>
        <v>http://cdn.wpsstatic.com/images/full/6fee-572a539bae7da.jpg</v>
      </c>
      <c r="B1002" s="5" t="s">
        <v>1002</v>
      </c>
    </row>
    <row r="1003" spans="1:2" x14ac:dyDescent="0.2">
      <c r="A1003" s="4" t="str">
        <f>HYPERLINK("http://cdn.wpsstatic.com/images/full/7029-5d028d075860f.jpg", "http://cdn.wpsstatic.com/images/full/7029-5d028d075860f.jpg")</f>
        <v>http://cdn.wpsstatic.com/images/full/7029-5d028d075860f.jpg</v>
      </c>
      <c r="B1003" s="5" t="s">
        <v>1003</v>
      </c>
    </row>
    <row r="1004" spans="1:2" x14ac:dyDescent="0.2">
      <c r="A1004" s="4" t="str">
        <f>HYPERLINK("http://cdn.wpsstatic.com/images/full/702d-572a53c4ca441.jpg", "http://cdn.wpsstatic.com/images/full/702d-572a53c4ca441.jpg")</f>
        <v>http://cdn.wpsstatic.com/images/full/702d-572a53c4ca441.jpg</v>
      </c>
      <c r="B1004" s="5" t="s">
        <v>1004</v>
      </c>
    </row>
    <row r="1005" spans="1:2" x14ac:dyDescent="0.2">
      <c r="A1005" s="4" t="str">
        <f>HYPERLINK("http://cdn.wpsstatic.com/images/full/7045-6604268c9e296.png", "http://cdn.wpsstatic.com/images/full/7045-6604268c9e296.png")</f>
        <v>http://cdn.wpsstatic.com/images/full/7045-6604268c9e296.png</v>
      </c>
      <c r="B1005" s="5" t="s">
        <v>1005</v>
      </c>
    </row>
    <row r="1006" spans="1:2" x14ac:dyDescent="0.2">
      <c r="A1006" s="4" t="str">
        <f>HYPERLINK("http://cdn.wpsstatic.com/images/full/707c-5fb845f5f2d87.jpg", "http://cdn.wpsstatic.com/images/full/707c-5fb845f5f2d87.jpg")</f>
        <v>http://cdn.wpsstatic.com/images/full/707c-5fb845f5f2d87.jpg</v>
      </c>
      <c r="B1006" s="5" t="s">
        <v>1006</v>
      </c>
    </row>
    <row r="1007" spans="1:2" x14ac:dyDescent="0.2">
      <c r="A1007" s="4" t="str">
        <f>HYPERLINK("http://cdn.wpsstatic.com/images/full/7083-572a5385c9ffa.jpg", "http://cdn.wpsstatic.com/images/full/7083-572a5385c9ffa.jpg")</f>
        <v>http://cdn.wpsstatic.com/images/full/7083-572a5385c9ffa.jpg</v>
      </c>
      <c r="B1007" s="5" t="s">
        <v>1007</v>
      </c>
    </row>
    <row r="1008" spans="1:2" x14ac:dyDescent="0.2">
      <c r="A1008" s="4" t="str">
        <f>HYPERLINK("http://cdn.wpsstatic.com/images/full/70a2-60c7771514dd2.jpg", "http://cdn.wpsstatic.com/images/full/70a2-60c7771514dd2.jpg")</f>
        <v>http://cdn.wpsstatic.com/images/full/70a2-60c7771514dd2.jpg</v>
      </c>
      <c r="B1008" s="5" t="s">
        <v>1008</v>
      </c>
    </row>
    <row r="1009" spans="1:2" x14ac:dyDescent="0.2">
      <c r="A1009" s="4" t="str">
        <f>HYPERLINK("http://cdn.wpsstatic.com/images/full/70ae-572a553af1a8b.jpg", "http://cdn.wpsstatic.com/images/full/70ae-572a553af1a8b.jpg")</f>
        <v>http://cdn.wpsstatic.com/images/full/70ae-572a553af1a8b.jpg</v>
      </c>
      <c r="B1009" s="5" t="s">
        <v>1009</v>
      </c>
    </row>
    <row r="1010" spans="1:2" x14ac:dyDescent="0.2">
      <c r="A1010" s="4" t="str">
        <f>HYPERLINK("http://cdn.wpsstatic.com/images/full/70fa-572a52649885a.jpg", "http://cdn.wpsstatic.com/images/full/70fa-572a52649885a.jpg")</f>
        <v>http://cdn.wpsstatic.com/images/full/70fa-572a52649885a.jpg</v>
      </c>
      <c r="B1010" s="5" t="s">
        <v>1010</v>
      </c>
    </row>
    <row r="1011" spans="1:2" x14ac:dyDescent="0.2">
      <c r="A1011" s="4" t="str">
        <f>HYPERLINK("http://cdn.wpsstatic.com/images/full/7102-572a5310a5ad1.jpg", "http://cdn.wpsstatic.com/images/full/7102-572a5310a5ad1.jpg")</f>
        <v>http://cdn.wpsstatic.com/images/full/7102-572a5310a5ad1.jpg</v>
      </c>
      <c r="B1011" s="5" t="s">
        <v>1011</v>
      </c>
    </row>
    <row r="1012" spans="1:2" x14ac:dyDescent="0.2">
      <c r="A1012" s="4" t="str">
        <f>HYPERLINK("http://cdn.wpsstatic.com/images/full/713a-5d02970271a55.jpg", "http://cdn.wpsstatic.com/images/full/713a-5d02970271a55.jpg")</f>
        <v>http://cdn.wpsstatic.com/images/full/713a-5d02970271a55.jpg</v>
      </c>
      <c r="B1012" s="5" t="s">
        <v>1012</v>
      </c>
    </row>
    <row r="1013" spans="1:2" x14ac:dyDescent="0.2">
      <c r="A1013" s="4" t="str">
        <f>HYPERLINK("http://cdn.wpsstatic.com/images/full/715a-5885c1f797011.jpg", "http://cdn.wpsstatic.com/images/full/715a-5885c1f797011.jpg")</f>
        <v>http://cdn.wpsstatic.com/images/full/715a-5885c1f797011.jpg</v>
      </c>
      <c r="B1013" s="5" t="s">
        <v>1013</v>
      </c>
    </row>
    <row r="1014" spans="1:2" x14ac:dyDescent="0.2">
      <c r="A1014" s="4" t="str">
        <f>HYPERLINK("http://cdn.wpsstatic.com/images/full/7167-572a5527b11f5.jpg", "http://cdn.wpsstatic.com/images/full/7167-572a5527b11f5.jpg")</f>
        <v>http://cdn.wpsstatic.com/images/full/7167-572a5527b11f5.jpg</v>
      </c>
      <c r="B1014" s="5" t="s">
        <v>1014</v>
      </c>
    </row>
    <row r="1015" spans="1:2" x14ac:dyDescent="0.2">
      <c r="A1015" s="4" t="str">
        <f>HYPERLINK("http://cdn.wpsstatic.com/images/full/716c-572a53bcee87e.jpg", "http://cdn.wpsstatic.com/images/full/716c-572a53bcee87e.jpg")</f>
        <v>http://cdn.wpsstatic.com/images/full/716c-572a53bcee87e.jpg</v>
      </c>
      <c r="B1015" s="5" t="s">
        <v>1015</v>
      </c>
    </row>
    <row r="1016" spans="1:2" x14ac:dyDescent="0.2">
      <c r="A1016" s="4" t="str">
        <f>HYPERLINK("http://cdn.wpsstatic.com/images/full/7185-572a53d434d3f.jpg", "http://cdn.wpsstatic.com/images/full/7185-572a53d434d3f.jpg")</f>
        <v>http://cdn.wpsstatic.com/images/full/7185-572a53d434d3f.jpg</v>
      </c>
      <c r="B1016" s="5" t="s">
        <v>1016</v>
      </c>
    </row>
    <row r="1017" spans="1:2" x14ac:dyDescent="0.2">
      <c r="A1017" s="4" t="str">
        <f>HYPERLINK("http://cdn.wpsstatic.com/images/full/7194-6064a8fe637eb.jpg", "http://cdn.wpsstatic.com/images/full/7194-6064a8fe637eb.jpg")</f>
        <v>http://cdn.wpsstatic.com/images/full/7194-6064a8fe637eb.jpg</v>
      </c>
      <c r="B1017" s="5" t="s">
        <v>1017</v>
      </c>
    </row>
    <row r="1018" spans="1:2" x14ac:dyDescent="0.2">
      <c r="A1018" s="4" t="str">
        <f>HYPERLINK("http://cdn.wpsstatic.com/images/full/71be-5d02920742ff3.jpg", "http://cdn.wpsstatic.com/images/full/71be-5d02920742ff3.jpg")</f>
        <v>http://cdn.wpsstatic.com/images/full/71be-5d02920742ff3.jpg</v>
      </c>
      <c r="B1018" s="5" t="s">
        <v>1018</v>
      </c>
    </row>
    <row r="1019" spans="1:2" x14ac:dyDescent="0.2">
      <c r="A1019" s="4" t="str">
        <f>HYPERLINK("http://cdn.wpsstatic.com/images/full/71e1-6041050184f31.jpg", "http://cdn.wpsstatic.com/images/full/71e1-6041050184f31.jpg")</f>
        <v>http://cdn.wpsstatic.com/images/full/71e1-6041050184f31.jpg</v>
      </c>
      <c r="B1019" s="5" t="s">
        <v>1019</v>
      </c>
    </row>
    <row r="1020" spans="1:2" x14ac:dyDescent="0.2">
      <c r="A1020" s="4" t="str">
        <f>HYPERLINK("http://cdn.wpsstatic.com/images/full/71e3-572a5324ccf91.jpg", "http://cdn.wpsstatic.com/images/full/71e3-572a5324ccf91.jpg")</f>
        <v>http://cdn.wpsstatic.com/images/full/71e3-572a5324ccf91.jpg</v>
      </c>
      <c r="B1020" s="5" t="s">
        <v>1020</v>
      </c>
    </row>
    <row r="1021" spans="1:2" x14ac:dyDescent="0.2">
      <c r="A1021" s="4" t="str">
        <f>HYPERLINK("http://cdn.wpsstatic.com/images/full/71ee-572a5538702a5.jpg", "http://cdn.wpsstatic.com/images/full/71ee-572a5538702a5.jpg")</f>
        <v>http://cdn.wpsstatic.com/images/full/71ee-572a5538702a5.jpg</v>
      </c>
      <c r="B1021" s="5" t="s">
        <v>1021</v>
      </c>
    </row>
    <row r="1022" spans="1:2" x14ac:dyDescent="0.2">
      <c r="A1022" s="4" t="str">
        <f>HYPERLINK("http://cdn.wpsstatic.com/images/full/71fb-5fb4532db257c.jpg", "http://cdn.wpsstatic.com/images/full/71fb-5fb4532db257c.jpg")</f>
        <v>http://cdn.wpsstatic.com/images/full/71fb-5fb4532db257c.jpg</v>
      </c>
      <c r="B1022" s="5" t="s">
        <v>1022</v>
      </c>
    </row>
    <row r="1023" spans="1:2" x14ac:dyDescent="0.2">
      <c r="A1023" s="4" t="str">
        <f>HYPERLINK("http://cdn.wpsstatic.com/images/full/71fd-572a5340696f1.jpg", "http://cdn.wpsstatic.com/images/full/71fd-572a5340696f1.jpg")</f>
        <v>http://cdn.wpsstatic.com/images/full/71fd-572a5340696f1.jpg</v>
      </c>
      <c r="B1023" s="5" t="s">
        <v>1023</v>
      </c>
    </row>
    <row r="1024" spans="1:2" x14ac:dyDescent="0.2">
      <c r="A1024" s="4" t="str">
        <f>HYPERLINK("http://cdn.wpsstatic.com/images/full/722b-603e8f5279e25.jpg", "http://cdn.wpsstatic.com/images/full/722b-603e8f5279e25.jpg")</f>
        <v>http://cdn.wpsstatic.com/images/full/722b-603e8f5279e25.jpg</v>
      </c>
      <c r="B1024" s="5" t="s">
        <v>1024</v>
      </c>
    </row>
    <row r="1025" spans="1:2" x14ac:dyDescent="0.2">
      <c r="A1025" s="4" t="str">
        <f>HYPERLINK("http://cdn.wpsstatic.com/images/full/7268-572a5569d6a39.jpg", "http://cdn.wpsstatic.com/images/full/7268-572a5569d6a39.jpg")</f>
        <v>http://cdn.wpsstatic.com/images/full/7268-572a5569d6a39.jpg</v>
      </c>
      <c r="B1025" s="5" t="s">
        <v>1025</v>
      </c>
    </row>
    <row r="1026" spans="1:2" x14ac:dyDescent="0.2">
      <c r="A1026" s="4" t="str">
        <f>HYPERLINK("http://cdn.wpsstatic.com/images/full/7289-5d028ced54f00.jpg", "http://cdn.wpsstatic.com/images/full/7289-5d028ced54f00.jpg")</f>
        <v>http://cdn.wpsstatic.com/images/full/7289-5d028ced54f00.jpg</v>
      </c>
      <c r="B1026" s="5" t="s">
        <v>1026</v>
      </c>
    </row>
    <row r="1027" spans="1:2" x14ac:dyDescent="0.2">
      <c r="A1027" s="4" t="str">
        <f>HYPERLINK("http://cdn.wpsstatic.com/images/full/729c-572a54cdd1d40.jpg", "http://cdn.wpsstatic.com/images/full/729c-572a54cdd1d40.jpg")</f>
        <v>http://cdn.wpsstatic.com/images/full/729c-572a54cdd1d40.jpg</v>
      </c>
      <c r="B1027" s="5" t="s">
        <v>1027</v>
      </c>
    </row>
    <row r="1028" spans="1:2" x14ac:dyDescent="0.2">
      <c r="A1028" s="4" t="str">
        <f>HYPERLINK("http://cdn.wpsstatic.com/images/full/72f3-572a563e7ebcd.jpg", "http://cdn.wpsstatic.com/images/full/72f3-572a563e7ebcd.jpg")</f>
        <v>http://cdn.wpsstatic.com/images/full/72f3-572a563e7ebcd.jpg</v>
      </c>
      <c r="B1028" s="5" t="s">
        <v>1028</v>
      </c>
    </row>
    <row r="1029" spans="1:2" x14ac:dyDescent="0.2">
      <c r="A1029" s="4" t="str">
        <f>HYPERLINK("http://cdn.wpsstatic.com/images/full/7317-572a548dca2a6.jpg", "http://cdn.wpsstatic.com/images/full/7317-572a548dca2a6.jpg")</f>
        <v>http://cdn.wpsstatic.com/images/full/7317-572a548dca2a6.jpg</v>
      </c>
      <c r="B1029" s="5" t="s">
        <v>1029</v>
      </c>
    </row>
    <row r="1030" spans="1:2" x14ac:dyDescent="0.2">
      <c r="A1030" s="4" t="str">
        <f>HYPERLINK("http://cdn.wpsstatic.com/images/full/734e-572a54c587895.jpg", "http://cdn.wpsstatic.com/images/full/734e-572a54c587895.jpg")</f>
        <v>http://cdn.wpsstatic.com/images/full/734e-572a54c587895.jpg</v>
      </c>
      <c r="B1030" s="5" t="s">
        <v>1030</v>
      </c>
    </row>
    <row r="1031" spans="1:2" x14ac:dyDescent="0.2">
      <c r="A1031" s="4" t="str">
        <f>HYPERLINK("http://cdn.wpsstatic.com/images/full/7356-6064a8fe12624.jpg", "http://cdn.wpsstatic.com/images/full/7356-6064a8fe12624.jpg")</f>
        <v>http://cdn.wpsstatic.com/images/full/7356-6064a8fe12624.jpg</v>
      </c>
      <c r="B1031" s="5" t="s">
        <v>1031</v>
      </c>
    </row>
    <row r="1032" spans="1:2" x14ac:dyDescent="0.2">
      <c r="A1032" s="4" t="str">
        <f>HYPERLINK("http://cdn.wpsstatic.com/images/full/7394-572a53d074afe.jpg", "http://cdn.wpsstatic.com/images/full/7394-572a53d074afe.jpg")</f>
        <v>http://cdn.wpsstatic.com/images/full/7394-572a53d074afe.jpg</v>
      </c>
      <c r="B1032" s="5" t="s">
        <v>1032</v>
      </c>
    </row>
    <row r="1033" spans="1:2" x14ac:dyDescent="0.2">
      <c r="A1033" s="4" t="str">
        <f>HYPERLINK("http://cdn.wpsstatic.com/images/full/739a-572a5427ebe5a.jpg", "http://cdn.wpsstatic.com/images/full/739a-572a5427ebe5a.jpg")</f>
        <v>http://cdn.wpsstatic.com/images/full/739a-572a5427ebe5a.jpg</v>
      </c>
      <c r="B1033" s="5" t="s">
        <v>1033</v>
      </c>
    </row>
    <row r="1034" spans="1:2" x14ac:dyDescent="0.2">
      <c r="A1034" s="4" t="str">
        <f>HYPERLINK("http://cdn.wpsstatic.com/images/full/73ee-572a54139e235.jpg", "http://cdn.wpsstatic.com/images/full/73ee-572a54139e235.jpg")</f>
        <v>http://cdn.wpsstatic.com/images/full/73ee-572a54139e235.jpg</v>
      </c>
      <c r="B1034" s="5" t="s">
        <v>1034</v>
      </c>
    </row>
    <row r="1035" spans="1:2" x14ac:dyDescent="0.2">
      <c r="A1035" s="4" t="str">
        <f>HYPERLINK("http://cdn.wpsstatic.com/images/full/73f0-572a54288d856.jpg", "http://cdn.wpsstatic.com/images/full/73f0-572a54288d856.jpg")</f>
        <v>http://cdn.wpsstatic.com/images/full/73f0-572a54288d856.jpg</v>
      </c>
      <c r="B1035" s="5" t="s">
        <v>1035</v>
      </c>
    </row>
    <row r="1036" spans="1:2" x14ac:dyDescent="0.2">
      <c r="A1036" s="4" t="str">
        <f>HYPERLINK("http://cdn.wpsstatic.com/images/full/73f2-572a74f9731c8.jpg", "http://cdn.wpsstatic.com/images/full/73f2-572a74f9731c8.jpg")</f>
        <v>http://cdn.wpsstatic.com/images/full/73f2-572a74f9731c8.jpg</v>
      </c>
      <c r="B1036" s="5" t="s">
        <v>1036</v>
      </c>
    </row>
    <row r="1037" spans="1:2" x14ac:dyDescent="0.2">
      <c r="A1037" s="4" t="str">
        <f>HYPERLINK("http://cdn.wpsstatic.com/images/full/743f-572a55353a353.jpg", "http://cdn.wpsstatic.com/images/full/743f-572a55353a353.jpg")</f>
        <v>http://cdn.wpsstatic.com/images/full/743f-572a55353a353.jpg</v>
      </c>
      <c r="B1037" s="5" t="s">
        <v>1037</v>
      </c>
    </row>
    <row r="1038" spans="1:2" x14ac:dyDescent="0.2">
      <c r="A1038" s="4" t="str">
        <f>HYPERLINK("http://cdn.wpsstatic.com/images/full/7474-572a53b62699f.jpg", "http://cdn.wpsstatic.com/images/full/7474-572a53b62699f.jpg")</f>
        <v>http://cdn.wpsstatic.com/images/full/7474-572a53b62699f.jpg</v>
      </c>
      <c r="B1038" s="5" t="s">
        <v>1038</v>
      </c>
    </row>
    <row r="1039" spans="1:2" x14ac:dyDescent="0.2">
      <c r="A1039" s="4" t="str">
        <f>HYPERLINK("http://cdn.wpsstatic.com/images/full/7475-572a533fe1e64.jpg", "http://cdn.wpsstatic.com/images/full/7475-572a533fe1e64.jpg")</f>
        <v>http://cdn.wpsstatic.com/images/full/7475-572a533fe1e64.jpg</v>
      </c>
      <c r="B1039" s="5" t="s">
        <v>1039</v>
      </c>
    </row>
    <row r="1040" spans="1:2" x14ac:dyDescent="0.2">
      <c r="A1040" s="4" t="str">
        <f>HYPERLINK("http://cdn.wpsstatic.com/images/full/7483-572a529d8ce25.jpg", "http://cdn.wpsstatic.com/images/full/7483-572a529d8ce25.jpg")</f>
        <v>http://cdn.wpsstatic.com/images/full/7483-572a529d8ce25.jpg</v>
      </c>
      <c r="B1040" s="5" t="s">
        <v>1040</v>
      </c>
    </row>
    <row r="1041" spans="1:2" x14ac:dyDescent="0.2">
      <c r="A1041" s="4" t="str">
        <f>HYPERLINK("http://cdn.wpsstatic.com/images/full/74b9-572a53c0a7c8d.jpg", "http://cdn.wpsstatic.com/images/full/74b9-572a53c0a7c8d.jpg")</f>
        <v>http://cdn.wpsstatic.com/images/full/74b9-572a53c0a7c8d.jpg</v>
      </c>
      <c r="B1041" s="5" t="s">
        <v>1041</v>
      </c>
    </row>
    <row r="1042" spans="1:2" x14ac:dyDescent="0.2">
      <c r="A1042" s="4" t="str">
        <f>HYPERLINK("http://cdn.wpsstatic.com/images/full/74e4-572a5530c65da.jpg", "http://cdn.wpsstatic.com/images/full/74e4-572a5530c65da.jpg")</f>
        <v>http://cdn.wpsstatic.com/images/full/74e4-572a5530c65da.jpg</v>
      </c>
      <c r="B1042" s="5" t="s">
        <v>1042</v>
      </c>
    </row>
    <row r="1043" spans="1:2" x14ac:dyDescent="0.2">
      <c r="A1043" s="4" t="str">
        <f>HYPERLINK("http://cdn.wpsstatic.com/images/full/74e6-572a541c43700.jpg", "http://cdn.wpsstatic.com/images/full/74e6-572a541c43700.jpg")</f>
        <v>http://cdn.wpsstatic.com/images/full/74e6-572a541c43700.jpg</v>
      </c>
      <c r="B1043" s="5" t="s">
        <v>1043</v>
      </c>
    </row>
    <row r="1044" spans="1:2" x14ac:dyDescent="0.2">
      <c r="A1044" s="4" t="str">
        <f>HYPERLINK("http://cdn.wpsstatic.com/images/full/7521-572a74f8aaea8.jpg", "http://cdn.wpsstatic.com/images/full/7521-572a74f8aaea8.jpg")</f>
        <v>http://cdn.wpsstatic.com/images/full/7521-572a74f8aaea8.jpg</v>
      </c>
      <c r="B1044" s="5" t="s">
        <v>1044</v>
      </c>
    </row>
    <row r="1045" spans="1:2" x14ac:dyDescent="0.2">
      <c r="A1045" s="4" t="str">
        <f>HYPERLINK("http://cdn.wpsstatic.com/images/full/7563-572a5333bea4d.jpg", "http://cdn.wpsstatic.com/images/full/7563-572a5333bea4d.jpg")</f>
        <v>http://cdn.wpsstatic.com/images/full/7563-572a5333bea4d.jpg</v>
      </c>
      <c r="B1045" s="5" t="s">
        <v>1045</v>
      </c>
    </row>
    <row r="1046" spans="1:2" x14ac:dyDescent="0.2">
      <c r="A1046" s="4" t="str">
        <f>HYPERLINK("http://cdn.wpsstatic.com/images/full/7564-5f32b0f4b176e.jpg", "http://cdn.wpsstatic.com/images/full/7564-5f32b0f4b176e.jpg")</f>
        <v>http://cdn.wpsstatic.com/images/full/7564-5f32b0f4b176e.jpg</v>
      </c>
      <c r="B1046" s="5" t="s">
        <v>1046</v>
      </c>
    </row>
    <row r="1047" spans="1:2" x14ac:dyDescent="0.2">
      <c r="A1047" s="4" t="str">
        <f>HYPERLINK("http://cdn.wpsstatic.com/images/full/7586-572a546d2d1ce.jpg", "http://cdn.wpsstatic.com/images/full/7586-572a546d2d1ce.jpg")</f>
        <v>http://cdn.wpsstatic.com/images/full/7586-572a546d2d1ce.jpg</v>
      </c>
      <c r="B1047" s="5" t="s">
        <v>1047</v>
      </c>
    </row>
    <row r="1048" spans="1:2" x14ac:dyDescent="0.2">
      <c r="A1048" s="4" t="str">
        <f>HYPERLINK("http://cdn.wpsstatic.com/images/full/758d-572a54ef4eb8e.jpg", "http://cdn.wpsstatic.com/images/full/758d-572a54ef4eb8e.jpg")</f>
        <v>http://cdn.wpsstatic.com/images/full/758d-572a54ef4eb8e.jpg</v>
      </c>
      <c r="B1048" s="5" t="s">
        <v>1048</v>
      </c>
    </row>
    <row r="1049" spans="1:2" x14ac:dyDescent="0.2">
      <c r="A1049" s="4" t="str">
        <f>HYPERLINK("http://cdn.wpsstatic.com/images/full/75bc-572a54078e80f.jpg", "http://cdn.wpsstatic.com/images/full/75bc-572a54078e80f.jpg")</f>
        <v>http://cdn.wpsstatic.com/images/full/75bc-572a54078e80f.jpg</v>
      </c>
      <c r="B1049" s="5" t="s">
        <v>1049</v>
      </c>
    </row>
    <row r="1050" spans="1:2" x14ac:dyDescent="0.2">
      <c r="A1050" s="4" t="str">
        <f>HYPERLINK("http://cdn.wpsstatic.com/images/full/75ce-572a56423e901.jpg", "http://cdn.wpsstatic.com/images/full/75ce-572a56423e901.jpg")</f>
        <v>http://cdn.wpsstatic.com/images/full/75ce-572a56423e901.jpg</v>
      </c>
      <c r="B1050" s="5" t="s">
        <v>1050</v>
      </c>
    </row>
    <row r="1051" spans="1:2" x14ac:dyDescent="0.2">
      <c r="A1051" s="4" t="str">
        <f>HYPERLINK("http://cdn.wpsstatic.com/images/full/762a-572a545d3b523.jpg", "http://cdn.wpsstatic.com/images/full/762a-572a545d3b523.jpg")</f>
        <v>http://cdn.wpsstatic.com/images/full/762a-572a545d3b523.jpg</v>
      </c>
      <c r="B1051" s="5" t="s">
        <v>1051</v>
      </c>
    </row>
    <row r="1052" spans="1:2" x14ac:dyDescent="0.2">
      <c r="A1052" s="4" t="str">
        <f>HYPERLINK("http://cdn.wpsstatic.com/images/full/763c-60c11d9ac1dfa.png", "http://cdn.wpsstatic.com/images/full/763c-60c11d9ac1dfa.png")</f>
        <v>http://cdn.wpsstatic.com/images/full/763c-60c11d9ac1dfa.png</v>
      </c>
      <c r="B1052" s="5" t="s">
        <v>1052</v>
      </c>
    </row>
    <row r="1053" spans="1:2" x14ac:dyDescent="0.2">
      <c r="A1053" s="4" t="str">
        <f>HYPERLINK("http://cdn.wpsstatic.com/images/full/7645-572a53d29994f.jpg", "http://cdn.wpsstatic.com/images/full/7645-572a53d29994f.jpg")</f>
        <v>http://cdn.wpsstatic.com/images/full/7645-572a53d29994f.jpg</v>
      </c>
      <c r="B1053" s="5" t="s">
        <v>1053</v>
      </c>
    </row>
    <row r="1054" spans="1:2" x14ac:dyDescent="0.2">
      <c r="A1054" s="4" t="str">
        <f>HYPERLINK("http://cdn.wpsstatic.com/images/full/7684-572a5633789de.jpg", "http://cdn.wpsstatic.com/images/full/7684-572a5633789de.jpg")</f>
        <v>http://cdn.wpsstatic.com/images/full/7684-572a5633789de.jpg</v>
      </c>
      <c r="B1054" s="5" t="s">
        <v>1054</v>
      </c>
    </row>
    <row r="1055" spans="1:2" x14ac:dyDescent="0.2">
      <c r="A1055" s="4" t="str">
        <f>HYPERLINK("http://cdn.wpsstatic.com/images/full/76b9-572a5266b28f0.jpg", "http://cdn.wpsstatic.com/images/full/76b9-572a5266b28f0.jpg")</f>
        <v>http://cdn.wpsstatic.com/images/full/76b9-572a5266b28f0.jpg</v>
      </c>
      <c r="B1055" s="5" t="s">
        <v>1055</v>
      </c>
    </row>
    <row r="1056" spans="1:2" x14ac:dyDescent="0.2">
      <c r="A1056" s="4" t="str">
        <f>HYPERLINK("http://cdn.wpsstatic.com/images/full/76bb-5885c249b89e8.jpg", "http://cdn.wpsstatic.com/images/full/76bb-5885c249b89e8.jpg")</f>
        <v>http://cdn.wpsstatic.com/images/full/76bb-5885c249b89e8.jpg</v>
      </c>
      <c r="B1056" s="5" t="s">
        <v>1056</v>
      </c>
    </row>
    <row r="1057" spans="1:2" x14ac:dyDescent="0.2">
      <c r="A1057" s="4" t="str">
        <f>HYPERLINK("http://cdn.wpsstatic.com/images/full/76d1-572a5373cc43d.jpg", "http://cdn.wpsstatic.com/images/full/76d1-572a5373cc43d.jpg")</f>
        <v>http://cdn.wpsstatic.com/images/full/76d1-572a5373cc43d.jpg</v>
      </c>
      <c r="B1057" s="5" t="s">
        <v>1057</v>
      </c>
    </row>
    <row r="1058" spans="1:2" x14ac:dyDescent="0.2">
      <c r="A1058" s="4" t="str">
        <f>HYPERLINK("http://cdn.wpsstatic.com/images/full/76ef-5d79004002b53.jpg", "http://cdn.wpsstatic.com/images/full/76ef-5d79004002b53.jpg")</f>
        <v>http://cdn.wpsstatic.com/images/full/76ef-5d79004002b53.jpg</v>
      </c>
      <c r="B1058" s="5" t="s">
        <v>1058</v>
      </c>
    </row>
    <row r="1059" spans="1:2" x14ac:dyDescent="0.2">
      <c r="A1059" s="4" t="str">
        <f>HYPERLINK("http://cdn.wpsstatic.com/images/full/7747-572a53dac784e.jpg", "http://cdn.wpsstatic.com/images/full/7747-572a53dac784e.jpg")</f>
        <v>http://cdn.wpsstatic.com/images/full/7747-572a53dac784e.jpg</v>
      </c>
      <c r="B1059" s="5" t="s">
        <v>1059</v>
      </c>
    </row>
    <row r="1060" spans="1:2" x14ac:dyDescent="0.2">
      <c r="A1060" s="4" t="str">
        <f>HYPERLINK("http://cdn.wpsstatic.com/images/full/778f-572a526537e05.jpg", "http://cdn.wpsstatic.com/images/full/778f-572a526537e05.jpg")</f>
        <v>http://cdn.wpsstatic.com/images/full/778f-572a526537e05.jpg</v>
      </c>
      <c r="B1060" s="5" t="s">
        <v>1060</v>
      </c>
    </row>
    <row r="1061" spans="1:2" x14ac:dyDescent="0.2">
      <c r="A1061" s="4" t="str">
        <f>HYPERLINK("http://cdn.wpsstatic.com/images/full/7792-572a5344a4268.jpg", "http://cdn.wpsstatic.com/images/full/7792-572a5344a4268.jpg")</f>
        <v>http://cdn.wpsstatic.com/images/full/7792-572a5344a4268.jpg</v>
      </c>
      <c r="B1061" s="5" t="s">
        <v>1061</v>
      </c>
    </row>
    <row r="1062" spans="1:2" x14ac:dyDescent="0.2">
      <c r="A1062" s="4" t="str">
        <f>HYPERLINK("http://cdn.wpsstatic.com/images/full/779d-572a52618787e.jpg", "http://cdn.wpsstatic.com/images/full/779d-572a52618787e.jpg")</f>
        <v>http://cdn.wpsstatic.com/images/full/779d-572a52618787e.jpg</v>
      </c>
      <c r="B1062" s="5" t="s">
        <v>1062</v>
      </c>
    </row>
    <row r="1063" spans="1:2" x14ac:dyDescent="0.2">
      <c r="A1063" s="4" t="str">
        <f>HYPERLINK("http://cdn.wpsstatic.com/images/full/779f-572a559965da5.jpg", "http://cdn.wpsstatic.com/images/full/779f-572a559965da5.jpg")</f>
        <v>http://cdn.wpsstatic.com/images/full/779f-572a559965da5.jpg</v>
      </c>
      <c r="B1063" s="5" t="s">
        <v>1063</v>
      </c>
    </row>
    <row r="1064" spans="1:2" x14ac:dyDescent="0.2">
      <c r="A1064" s="4" t="str">
        <f>HYPERLINK("http://cdn.wpsstatic.com/images/full/77e1-572a5300e20cc.jpg", "http://cdn.wpsstatic.com/images/full/77e1-572a5300e20cc.jpg")</f>
        <v>http://cdn.wpsstatic.com/images/full/77e1-572a5300e20cc.jpg</v>
      </c>
      <c r="B1064" s="5" t="s">
        <v>1064</v>
      </c>
    </row>
    <row r="1065" spans="1:2" x14ac:dyDescent="0.2">
      <c r="A1065" s="4" t="str">
        <f>HYPERLINK("http://cdn.wpsstatic.com/images/full/77f5-572a52fc3a38b.jpg", "http://cdn.wpsstatic.com/images/full/77f5-572a52fc3a38b.jpg")</f>
        <v>http://cdn.wpsstatic.com/images/full/77f5-572a52fc3a38b.jpg</v>
      </c>
      <c r="B1065" s="5" t="s">
        <v>1065</v>
      </c>
    </row>
    <row r="1066" spans="1:2" x14ac:dyDescent="0.2">
      <c r="A1066" s="4" t="str">
        <f>HYPERLINK("http://cdn.wpsstatic.com/images/full/77f5-572a52fc3a38b.jpg", "http://cdn.wpsstatic.com/images/full/77f5-572a52fc3a38b.jpg")</f>
        <v>http://cdn.wpsstatic.com/images/full/77f5-572a52fc3a38b.jpg</v>
      </c>
      <c r="B1066" s="5" t="s">
        <v>1066</v>
      </c>
    </row>
    <row r="1067" spans="1:2" x14ac:dyDescent="0.2">
      <c r="A1067" s="4" t="str">
        <f>HYPERLINK("http://cdn.wpsstatic.com/images/full/77f5-572a52fc3a38b.jpg", "http://cdn.wpsstatic.com/images/full/77f5-572a52fc3a38b.jpg")</f>
        <v>http://cdn.wpsstatic.com/images/full/77f5-572a52fc3a38b.jpg</v>
      </c>
      <c r="B1067" s="5" t="s">
        <v>1067</v>
      </c>
    </row>
    <row r="1068" spans="1:2" x14ac:dyDescent="0.2">
      <c r="A1068" s="4" t="str">
        <f>HYPERLINK("http://cdn.wpsstatic.com/images/full/77f5-572a52fc3a38b.jpg", "http://cdn.wpsstatic.com/images/full/77f5-572a52fc3a38b.jpg")</f>
        <v>http://cdn.wpsstatic.com/images/full/77f5-572a52fc3a38b.jpg</v>
      </c>
      <c r="B1068" s="5" t="s">
        <v>1068</v>
      </c>
    </row>
    <row r="1069" spans="1:2" x14ac:dyDescent="0.2">
      <c r="A1069" s="4" t="str">
        <f>HYPERLINK("http://cdn.wpsstatic.com/images/full/77f5-572a52fc3a38b.jpg", "http://cdn.wpsstatic.com/images/full/77f5-572a52fc3a38b.jpg")</f>
        <v>http://cdn.wpsstatic.com/images/full/77f5-572a52fc3a38b.jpg</v>
      </c>
      <c r="B1069" s="5" t="s">
        <v>1069</v>
      </c>
    </row>
    <row r="1070" spans="1:2" x14ac:dyDescent="0.2">
      <c r="A1070" s="4" t="str">
        <f>HYPERLINK("http://cdn.wpsstatic.com/images/full/77f5-572a52fc3a38b.jpg", "http://cdn.wpsstatic.com/images/full/77f5-572a52fc3a38b.jpg")</f>
        <v>http://cdn.wpsstatic.com/images/full/77f5-572a52fc3a38b.jpg</v>
      </c>
      <c r="B1070" s="5" t="s">
        <v>1070</v>
      </c>
    </row>
    <row r="1071" spans="1:2" x14ac:dyDescent="0.2">
      <c r="A1071" s="4" t="str">
        <f>HYPERLINK("http://cdn.wpsstatic.com/images/full/77f5-572a52fc3a38b.jpg", "http://cdn.wpsstatic.com/images/full/77f5-572a52fc3a38b.jpg")</f>
        <v>http://cdn.wpsstatic.com/images/full/77f5-572a52fc3a38b.jpg</v>
      </c>
      <c r="B1071" s="5" t="s">
        <v>1071</v>
      </c>
    </row>
    <row r="1072" spans="1:2" x14ac:dyDescent="0.2">
      <c r="A1072" s="4" t="str">
        <f>HYPERLINK("http://cdn.wpsstatic.com/images/full/77f5-572a52fc3a38b.jpg", "http://cdn.wpsstatic.com/images/full/77f5-572a52fc3a38b.jpg")</f>
        <v>http://cdn.wpsstatic.com/images/full/77f5-572a52fc3a38b.jpg</v>
      </c>
      <c r="B1072" s="5" t="s">
        <v>1072</v>
      </c>
    </row>
    <row r="1073" spans="1:2" x14ac:dyDescent="0.2">
      <c r="A1073" s="4" t="str">
        <f>HYPERLINK("http://cdn.wpsstatic.com/images/full/77f5-572a52fc3a38b.jpg", "http://cdn.wpsstatic.com/images/full/77f5-572a52fc3a38b.jpg")</f>
        <v>http://cdn.wpsstatic.com/images/full/77f5-572a52fc3a38b.jpg</v>
      </c>
      <c r="B1073" s="5" t="s">
        <v>1073</v>
      </c>
    </row>
    <row r="1074" spans="1:2" x14ac:dyDescent="0.2">
      <c r="A1074" s="4" t="str">
        <f>HYPERLINK("http://cdn.wpsstatic.com/images/full/77f5-572a52fc3a38b.jpg", "http://cdn.wpsstatic.com/images/full/77f5-572a52fc3a38b.jpg")</f>
        <v>http://cdn.wpsstatic.com/images/full/77f5-572a52fc3a38b.jpg</v>
      </c>
      <c r="B1074" s="5" t="s">
        <v>1074</v>
      </c>
    </row>
    <row r="1075" spans="1:2" x14ac:dyDescent="0.2">
      <c r="A1075" s="4" t="str">
        <f>HYPERLINK("http://cdn.wpsstatic.com/images/full/77f5-572a52fc3a38b.jpg", "http://cdn.wpsstatic.com/images/full/77f5-572a52fc3a38b.jpg")</f>
        <v>http://cdn.wpsstatic.com/images/full/77f5-572a52fc3a38b.jpg</v>
      </c>
      <c r="B1075" s="5" t="s">
        <v>1075</v>
      </c>
    </row>
    <row r="1076" spans="1:2" x14ac:dyDescent="0.2">
      <c r="A1076" s="4" t="str">
        <f>HYPERLINK("http://cdn.wpsstatic.com/images/full/77f5-572a52fc3a38b.jpg", "http://cdn.wpsstatic.com/images/full/77f5-572a52fc3a38b.jpg")</f>
        <v>http://cdn.wpsstatic.com/images/full/77f5-572a52fc3a38b.jpg</v>
      </c>
      <c r="B1076" s="5" t="s">
        <v>1076</v>
      </c>
    </row>
    <row r="1077" spans="1:2" x14ac:dyDescent="0.2">
      <c r="A1077" s="4" t="str">
        <f>HYPERLINK("http://cdn.wpsstatic.com/images/full/77f5-572a52fc3a38b.jpg", "http://cdn.wpsstatic.com/images/full/77f5-572a52fc3a38b.jpg")</f>
        <v>http://cdn.wpsstatic.com/images/full/77f5-572a52fc3a38b.jpg</v>
      </c>
      <c r="B1077" s="5" t="s">
        <v>1077</v>
      </c>
    </row>
    <row r="1078" spans="1:2" x14ac:dyDescent="0.2">
      <c r="A1078" s="4" t="str">
        <f>HYPERLINK("http://cdn.wpsstatic.com/images/full/77f5-572a52fc3a38b.jpg", "http://cdn.wpsstatic.com/images/full/77f5-572a52fc3a38b.jpg")</f>
        <v>http://cdn.wpsstatic.com/images/full/77f5-572a52fc3a38b.jpg</v>
      </c>
      <c r="B1078" s="5" t="s">
        <v>1078</v>
      </c>
    </row>
    <row r="1079" spans="1:2" x14ac:dyDescent="0.2">
      <c r="A1079" s="4" t="str">
        <f>HYPERLINK("http://cdn.wpsstatic.com/images/full/77f5-572a52fc3a38b.jpg", "http://cdn.wpsstatic.com/images/full/77f5-572a52fc3a38b.jpg")</f>
        <v>http://cdn.wpsstatic.com/images/full/77f5-572a52fc3a38b.jpg</v>
      </c>
      <c r="B1079" s="5" t="s">
        <v>1079</v>
      </c>
    </row>
    <row r="1080" spans="1:2" x14ac:dyDescent="0.2">
      <c r="A1080" s="4" t="str">
        <f>HYPERLINK("http://cdn.wpsstatic.com/images/full/77f5-572a52fc3a38b.jpg", "http://cdn.wpsstatic.com/images/full/77f5-572a52fc3a38b.jpg")</f>
        <v>http://cdn.wpsstatic.com/images/full/77f5-572a52fc3a38b.jpg</v>
      </c>
      <c r="B1080" s="5" t="s">
        <v>1080</v>
      </c>
    </row>
    <row r="1081" spans="1:2" x14ac:dyDescent="0.2">
      <c r="A1081" s="4" t="str">
        <f>HYPERLINK("http://cdn.wpsstatic.com/images/full/77f5-572a52fc3a38b.jpg", "http://cdn.wpsstatic.com/images/full/77f5-572a52fc3a38b.jpg")</f>
        <v>http://cdn.wpsstatic.com/images/full/77f5-572a52fc3a38b.jpg</v>
      </c>
      <c r="B1081" s="5" t="s">
        <v>1081</v>
      </c>
    </row>
    <row r="1082" spans="1:2" x14ac:dyDescent="0.2">
      <c r="A1082" s="4" t="str">
        <f>HYPERLINK("http://cdn.wpsstatic.com/images/full/77f5-572a52fc3a38b.jpg", "http://cdn.wpsstatic.com/images/full/77f5-572a52fc3a38b.jpg")</f>
        <v>http://cdn.wpsstatic.com/images/full/77f5-572a52fc3a38b.jpg</v>
      </c>
      <c r="B1082" s="5" t="s">
        <v>1082</v>
      </c>
    </row>
    <row r="1083" spans="1:2" x14ac:dyDescent="0.2">
      <c r="A1083" s="4" t="str">
        <f>HYPERLINK("http://cdn.wpsstatic.com/images/full/77f5-572a52fc3a38b.jpg", "http://cdn.wpsstatic.com/images/full/77f5-572a52fc3a38b.jpg")</f>
        <v>http://cdn.wpsstatic.com/images/full/77f5-572a52fc3a38b.jpg</v>
      </c>
      <c r="B1083" s="5" t="s">
        <v>1083</v>
      </c>
    </row>
    <row r="1084" spans="1:2" x14ac:dyDescent="0.2">
      <c r="A1084" s="4" t="str">
        <f>HYPERLINK("http://cdn.wpsstatic.com/images/full/77f5-572a52fc3a38b.jpg", "http://cdn.wpsstatic.com/images/full/77f5-572a52fc3a38b.jpg")</f>
        <v>http://cdn.wpsstatic.com/images/full/77f5-572a52fc3a38b.jpg</v>
      </c>
      <c r="B1084" s="5" t="s">
        <v>1084</v>
      </c>
    </row>
    <row r="1085" spans="1:2" x14ac:dyDescent="0.2">
      <c r="A1085" s="4" t="str">
        <f>HYPERLINK("http://cdn.wpsstatic.com/images/full/77f5-572a52fc3a38b.jpg", "http://cdn.wpsstatic.com/images/full/77f5-572a52fc3a38b.jpg")</f>
        <v>http://cdn.wpsstatic.com/images/full/77f5-572a52fc3a38b.jpg</v>
      </c>
      <c r="B1085" s="5" t="s">
        <v>1085</v>
      </c>
    </row>
    <row r="1086" spans="1:2" x14ac:dyDescent="0.2">
      <c r="A1086" s="4" t="str">
        <f>HYPERLINK("http://cdn.wpsstatic.com/images/full/77f5-572a52fc3a38b.jpg", "http://cdn.wpsstatic.com/images/full/77f5-572a52fc3a38b.jpg")</f>
        <v>http://cdn.wpsstatic.com/images/full/77f5-572a52fc3a38b.jpg</v>
      </c>
      <c r="B1086" s="5" t="s">
        <v>1086</v>
      </c>
    </row>
    <row r="1087" spans="1:2" x14ac:dyDescent="0.2">
      <c r="A1087" s="4" t="str">
        <f>HYPERLINK("http://cdn.wpsstatic.com/images/full/77f5-572a52fc3a38b.jpg", "http://cdn.wpsstatic.com/images/full/77f5-572a52fc3a38b.jpg")</f>
        <v>http://cdn.wpsstatic.com/images/full/77f5-572a52fc3a38b.jpg</v>
      </c>
      <c r="B1087" s="5" t="s">
        <v>1087</v>
      </c>
    </row>
    <row r="1088" spans="1:2" x14ac:dyDescent="0.2">
      <c r="A1088" s="4" t="str">
        <f>HYPERLINK("http://cdn.wpsstatic.com/images/full/77f5-572a52fc3a38b.jpg", "http://cdn.wpsstatic.com/images/full/77f5-572a52fc3a38b.jpg")</f>
        <v>http://cdn.wpsstatic.com/images/full/77f5-572a52fc3a38b.jpg</v>
      </c>
      <c r="B1088" s="5" t="s">
        <v>1088</v>
      </c>
    </row>
    <row r="1089" spans="1:2" x14ac:dyDescent="0.2">
      <c r="A1089" s="4" t="str">
        <f>HYPERLINK("http://cdn.wpsstatic.com/images/full/77f5-572a52fc3a38b.jpg", "http://cdn.wpsstatic.com/images/full/77f5-572a52fc3a38b.jpg")</f>
        <v>http://cdn.wpsstatic.com/images/full/77f5-572a52fc3a38b.jpg</v>
      </c>
      <c r="B1089" s="5" t="s">
        <v>1089</v>
      </c>
    </row>
    <row r="1090" spans="1:2" x14ac:dyDescent="0.2">
      <c r="A1090" s="4" t="str">
        <f>HYPERLINK("http://cdn.wpsstatic.com/images/full/77f5-572a52fc3a38b.jpg", "http://cdn.wpsstatic.com/images/full/77f5-572a52fc3a38b.jpg")</f>
        <v>http://cdn.wpsstatic.com/images/full/77f5-572a52fc3a38b.jpg</v>
      </c>
      <c r="B1090" s="5" t="s">
        <v>1090</v>
      </c>
    </row>
    <row r="1091" spans="1:2" x14ac:dyDescent="0.2">
      <c r="A1091" s="4" t="str">
        <f>HYPERLINK("http://cdn.wpsstatic.com/images/full/77f5-572a52fc3a38b.jpg", "http://cdn.wpsstatic.com/images/full/77f5-572a52fc3a38b.jpg")</f>
        <v>http://cdn.wpsstatic.com/images/full/77f5-572a52fc3a38b.jpg</v>
      </c>
      <c r="B1091" s="5" t="s">
        <v>1091</v>
      </c>
    </row>
    <row r="1092" spans="1:2" x14ac:dyDescent="0.2">
      <c r="A1092" s="4" t="str">
        <f>HYPERLINK("http://cdn.wpsstatic.com/images/full/77f5-572a52fc3a38b.jpg", "http://cdn.wpsstatic.com/images/full/77f5-572a52fc3a38b.jpg")</f>
        <v>http://cdn.wpsstatic.com/images/full/77f5-572a52fc3a38b.jpg</v>
      </c>
      <c r="B1092" s="5" t="s">
        <v>1092</v>
      </c>
    </row>
    <row r="1093" spans="1:2" x14ac:dyDescent="0.2">
      <c r="A1093" s="4" t="str">
        <f>HYPERLINK("http://cdn.wpsstatic.com/images/full/77f5-572a52fc3a38b.jpg", "http://cdn.wpsstatic.com/images/full/77f5-572a52fc3a38b.jpg")</f>
        <v>http://cdn.wpsstatic.com/images/full/77f5-572a52fc3a38b.jpg</v>
      </c>
      <c r="B1093" s="5" t="s">
        <v>1093</v>
      </c>
    </row>
    <row r="1094" spans="1:2" x14ac:dyDescent="0.2">
      <c r="A1094" s="4" t="str">
        <f>HYPERLINK("http://cdn.wpsstatic.com/images/full/77f5-572a52fc3a38b.jpg", "http://cdn.wpsstatic.com/images/full/77f5-572a52fc3a38b.jpg")</f>
        <v>http://cdn.wpsstatic.com/images/full/77f5-572a52fc3a38b.jpg</v>
      </c>
      <c r="B1094" s="5" t="s">
        <v>1094</v>
      </c>
    </row>
    <row r="1095" spans="1:2" x14ac:dyDescent="0.2">
      <c r="A1095" s="4" t="str">
        <f>HYPERLINK("http://cdn.wpsstatic.com/images/full/77f5-572a52fc3a38b.jpg", "http://cdn.wpsstatic.com/images/full/77f5-572a52fc3a38b.jpg")</f>
        <v>http://cdn.wpsstatic.com/images/full/77f5-572a52fc3a38b.jpg</v>
      </c>
      <c r="B1095" s="5" t="s">
        <v>1095</v>
      </c>
    </row>
    <row r="1096" spans="1:2" x14ac:dyDescent="0.2">
      <c r="A1096" s="4" t="str">
        <f>HYPERLINK("http://cdn.wpsstatic.com/images/full/77f5-572a52fc3a38b.jpg", "http://cdn.wpsstatic.com/images/full/77f5-572a52fc3a38b.jpg")</f>
        <v>http://cdn.wpsstatic.com/images/full/77f5-572a52fc3a38b.jpg</v>
      </c>
      <c r="B1096" s="5" t="s">
        <v>1096</v>
      </c>
    </row>
    <row r="1097" spans="1:2" x14ac:dyDescent="0.2">
      <c r="A1097" s="4" t="str">
        <f>HYPERLINK("http://cdn.wpsstatic.com/images/full/77f5-572a52fc3a38b.jpg", "http://cdn.wpsstatic.com/images/full/77f5-572a52fc3a38b.jpg")</f>
        <v>http://cdn.wpsstatic.com/images/full/77f5-572a52fc3a38b.jpg</v>
      </c>
      <c r="B1097" s="5" t="s">
        <v>1097</v>
      </c>
    </row>
    <row r="1098" spans="1:2" x14ac:dyDescent="0.2">
      <c r="A1098" s="4" t="str">
        <f>HYPERLINK("http://cdn.wpsstatic.com/images/full/77f5-572a52fc3a38b.jpg", "http://cdn.wpsstatic.com/images/full/77f5-572a52fc3a38b.jpg")</f>
        <v>http://cdn.wpsstatic.com/images/full/77f5-572a52fc3a38b.jpg</v>
      </c>
      <c r="B1098" s="5" t="s">
        <v>1098</v>
      </c>
    </row>
    <row r="1099" spans="1:2" x14ac:dyDescent="0.2">
      <c r="A1099" s="4" t="str">
        <f>HYPERLINK("http://cdn.wpsstatic.com/images/full/77f5-572a52fc3a38b.jpg", "http://cdn.wpsstatic.com/images/full/77f5-572a52fc3a38b.jpg")</f>
        <v>http://cdn.wpsstatic.com/images/full/77f5-572a52fc3a38b.jpg</v>
      </c>
      <c r="B1099" s="5" t="s">
        <v>1099</v>
      </c>
    </row>
    <row r="1100" spans="1:2" x14ac:dyDescent="0.2">
      <c r="A1100" s="4" t="str">
        <f>HYPERLINK("http://cdn.wpsstatic.com/images/full/77f5-572a52fc3a38b.jpg", "http://cdn.wpsstatic.com/images/full/77f5-572a52fc3a38b.jpg")</f>
        <v>http://cdn.wpsstatic.com/images/full/77f5-572a52fc3a38b.jpg</v>
      </c>
      <c r="B1100" s="5" t="s">
        <v>1100</v>
      </c>
    </row>
    <row r="1101" spans="1:2" x14ac:dyDescent="0.2">
      <c r="A1101" s="4" t="str">
        <f>HYPERLINK("http://cdn.wpsstatic.com/images/full/77f5-572a52fc3a38b.jpg", "http://cdn.wpsstatic.com/images/full/77f5-572a52fc3a38b.jpg")</f>
        <v>http://cdn.wpsstatic.com/images/full/77f5-572a52fc3a38b.jpg</v>
      </c>
      <c r="B1101" s="5" t="s">
        <v>1101</v>
      </c>
    </row>
    <row r="1102" spans="1:2" x14ac:dyDescent="0.2">
      <c r="A1102" s="4" t="str">
        <f>HYPERLINK("http://cdn.wpsstatic.com/images/full/77f5-572a52fc3a38b.jpg", "http://cdn.wpsstatic.com/images/full/77f5-572a52fc3a38b.jpg")</f>
        <v>http://cdn.wpsstatic.com/images/full/77f5-572a52fc3a38b.jpg</v>
      </c>
      <c r="B1102" s="5" t="s">
        <v>1102</v>
      </c>
    </row>
    <row r="1103" spans="1:2" x14ac:dyDescent="0.2">
      <c r="A1103" s="4" t="str">
        <f>HYPERLINK("http://cdn.wpsstatic.com/images/full/77f5-572a52fc3a38b.jpg", "http://cdn.wpsstatic.com/images/full/77f5-572a52fc3a38b.jpg")</f>
        <v>http://cdn.wpsstatic.com/images/full/77f5-572a52fc3a38b.jpg</v>
      </c>
      <c r="B1103" s="5" t="s">
        <v>1103</v>
      </c>
    </row>
    <row r="1104" spans="1:2" x14ac:dyDescent="0.2">
      <c r="A1104" s="4" t="str">
        <f>HYPERLINK("http://cdn.wpsstatic.com/images/full/77f5-572a52fc3a38b.jpg", "http://cdn.wpsstatic.com/images/full/77f5-572a52fc3a38b.jpg")</f>
        <v>http://cdn.wpsstatic.com/images/full/77f5-572a52fc3a38b.jpg</v>
      </c>
      <c r="B1104" s="5" t="s">
        <v>1104</v>
      </c>
    </row>
    <row r="1105" spans="1:2" x14ac:dyDescent="0.2">
      <c r="A1105" s="4" t="str">
        <f>HYPERLINK("http://cdn.wpsstatic.com/images/full/77f5-572a52fc3a38b.jpg", "http://cdn.wpsstatic.com/images/full/77f5-572a52fc3a38b.jpg")</f>
        <v>http://cdn.wpsstatic.com/images/full/77f5-572a52fc3a38b.jpg</v>
      </c>
      <c r="B1105" s="5" t="s">
        <v>1105</v>
      </c>
    </row>
    <row r="1106" spans="1:2" x14ac:dyDescent="0.2">
      <c r="A1106" s="4" t="str">
        <f>HYPERLINK("http://cdn.wpsstatic.com/images/full/77f5-572a52fc3a38b.jpg", "http://cdn.wpsstatic.com/images/full/77f5-572a52fc3a38b.jpg")</f>
        <v>http://cdn.wpsstatic.com/images/full/77f5-572a52fc3a38b.jpg</v>
      </c>
      <c r="B1106" s="5" t="s">
        <v>1106</v>
      </c>
    </row>
    <row r="1107" spans="1:2" x14ac:dyDescent="0.2">
      <c r="A1107" s="4" t="str">
        <f>HYPERLINK("http://cdn.wpsstatic.com/images/full/77f5-572a52fc3a38b.jpg", "http://cdn.wpsstatic.com/images/full/77f5-572a52fc3a38b.jpg")</f>
        <v>http://cdn.wpsstatic.com/images/full/77f5-572a52fc3a38b.jpg</v>
      </c>
      <c r="B1107" s="5" t="s">
        <v>1107</v>
      </c>
    </row>
    <row r="1108" spans="1:2" x14ac:dyDescent="0.2">
      <c r="A1108" s="4" t="str">
        <f>HYPERLINK("http://cdn.wpsstatic.com/images/full/77f5-572a52fc3a38b.jpg", "http://cdn.wpsstatic.com/images/full/77f5-572a52fc3a38b.jpg")</f>
        <v>http://cdn.wpsstatic.com/images/full/77f5-572a52fc3a38b.jpg</v>
      </c>
      <c r="B1108" s="5" t="s">
        <v>1108</v>
      </c>
    </row>
    <row r="1109" spans="1:2" x14ac:dyDescent="0.2">
      <c r="A1109" s="4" t="str">
        <f>HYPERLINK("http://cdn.wpsstatic.com/images/full/77f5-572a52fc3a38b.jpg", "http://cdn.wpsstatic.com/images/full/77f5-572a52fc3a38b.jpg")</f>
        <v>http://cdn.wpsstatic.com/images/full/77f5-572a52fc3a38b.jpg</v>
      </c>
      <c r="B1109" s="5" t="s">
        <v>1109</v>
      </c>
    </row>
    <row r="1110" spans="1:2" x14ac:dyDescent="0.2">
      <c r="A1110" s="4" t="str">
        <f>HYPERLINK("http://cdn.wpsstatic.com/images/full/77f5-572a52fc3a38b.jpg", "http://cdn.wpsstatic.com/images/full/77f5-572a52fc3a38b.jpg")</f>
        <v>http://cdn.wpsstatic.com/images/full/77f5-572a52fc3a38b.jpg</v>
      </c>
      <c r="B1110" s="5" t="s">
        <v>1110</v>
      </c>
    </row>
    <row r="1111" spans="1:2" x14ac:dyDescent="0.2">
      <c r="A1111" s="4" t="str">
        <f>HYPERLINK("http://cdn.wpsstatic.com/images/full/77f5-572a52fc3a38b.jpg", "http://cdn.wpsstatic.com/images/full/77f5-572a52fc3a38b.jpg")</f>
        <v>http://cdn.wpsstatic.com/images/full/77f5-572a52fc3a38b.jpg</v>
      </c>
      <c r="B1111" s="5" t="s">
        <v>1111</v>
      </c>
    </row>
    <row r="1112" spans="1:2" x14ac:dyDescent="0.2">
      <c r="A1112" s="4" t="str">
        <f>HYPERLINK("http://cdn.wpsstatic.com/images/full/77f5-572a52fc3a38b.jpg", "http://cdn.wpsstatic.com/images/full/77f5-572a52fc3a38b.jpg")</f>
        <v>http://cdn.wpsstatic.com/images/full/77f5-572a52fc3a38b.jpg</v>
      </c>
      <c r="B1112" s="5" t="s">
        <v>1112</v>
      </c>
    </row>
    <row r="1113" spans="1:2" x14ac:dyDescent="0.2">
      <c r="A1113" s="4" t="str">
        <f>HYPERLINK("http://cdn.wpsstatic.com/images/full/77f5-572a52fc3a38b.jpg", "http://cdn.wpsstatic.com/images/full/77f5-572a52fc3a38b.jpg")</f>
        <v>http://cdn.wpsstatic.com/images/full/77f5-572a52fc3a38b.jpg</v>
      </c>
      <c r="B1113" s="5" t="s">
        <v>1113</v>
      </c>
    </row>
    <row r="1114" spans="1:2" x14ac:dyDescent="0.2">
      <c r="A1114" s="4" t="str">
        <f>HYPERLINK("http://cdn.wpsstatic.com/images/full/77f5-572a52fc3a38b.jpg", "http://cdn.wpsstatic.com/images/full/77f5-572a52fc3a38b.jpg")</f>
        <v>http://cdn.wpsstatic.com/images/full/77f5-572a52fc3a38b.jpg</v>
      </c>
      <c r="B1114" s="5" t="s">
        <v>1114</v>
      </c>
    </row>
    <row r="1115" spans="1:2" x14ac:dyDescent="0.2">
      <c r="A1115" s="4" t="str">
        <f>HYPERLINK("http://cdn.wpsstatic.com/images/full/77f5-572a52fc3a38b.jpg", "http://cdn.wpsstatic.com/images/full/77f5-572a52fc3a38b.jpg")</f>
        <v>http://cdn.wpsstatic.com/images/full/77f5-572a52fc3a38b.jpg</v>
      </c>
      <c r="B1115" s="5" t="s">
        <v>1115</v>
      </c>
    </row>
    <row r="1116" spans="1:2" x14ac:dyDescent="0.2">
      <c r="A1116" s="4" t="str">
        <f>HYPERLINK("http://cdn.wpsstatic.com/images/full/77f5-572a52fc3a38b.jpg", "http://cdn.wpsstatic.com/images/full/77f5-572a52fc3a38b.jpg")</f>
        <v>http://cdn.wpsstatic.com/images/full/77f5-572a52fc3a38b.jpg</v>
      </c>
      <c r="B1116" s="5" t="s">
        <v>1116</v>
      </c>
    </row>
    <row r="1117" spans="1:2" x14ac:dyDescent="0.2">
      <c r="A1117" s="4" t="str">
        <f>HYPERLINK("http://cdn.wpsstatic.com/images/full/77f5-572a52fc3a38b.jpg", "http://cdn.wpsstatic.com/images/full/77f5-572a52fc3a38b.jpg")</f>
        <v>http://cdn.wpsstatic.com/images/full/77f5-572a52fc3a38b.jpg</v>
      </c>
      <c r="B1117" s="5" t="s">
        <v>1117</v>
      </c>
    </row>
    <row r="1118" spans="1:2" x14ac:dyDescent="0.2">
      <c r="A1118" s="4" t="str">
        <f>HYPERLINK("http://cdn.wpsstatic.com/images/full/77f5-572a52fc3a38b.jpg", "http://cdn.wpsstatic.com/images/full/77f5-572a52fc3a38b.jpg")</f>
        <v>http://cdn.wpsstatic.com/images/full/77f5-572a52fc3a38b.jpg</v>
      </c>
      <c r="B1118" s="5" t="s">
        <v>1118</v>
      </c>
    </row>
    <row r="1119" spans="1:2" x14ac:dyDescent="0.2">
      <c r="A1119" s="4" t="str">
        <f>HYPERLINK("http://cdn.wpsstatic.com/images/full/77f5-572a52fc3a38b.jpg", "http://cdn.wpsstatic.com/images/full/77f5-572a52fc3a38b.jpg")</f>
        <v>http://cdn.wpsstatic.com/images/full/77f5-572a52fc3a38b.jpg</v>
      </c>
      <c r="B1119" s="5" t="s">
        <v>1119</v>
      </c>
    </row>
    <row r="1120" spans="1:2" x14ac:dyDescent="0.2">
      <c r="A1120" s="4" t="str">
        <f>HYPERLINK("http://cdn.wpsstatic.com/images/full/77f5-572a52fc3a38b.jpg", "http://cdn.wpsstatic.com/images/full/77f5-572a52fc3a38b.jpg")</f>
        <v>http://cdn.wpsstatic.com/images/full/77f5-572a52fc3a38b.jpg</v>
      </c>
      <c r="B1120" s="5" t="s">
        <v>1120</v>
      </c>
    </row>
    <row r="1121" spans="1:2" x14ac:dyDescent="0.2">
      <c r="A1121" s="4" t="str">
        <f>HYPERLINK("http://cdn.wpsstatic.com/images/full/77f5-572a52fc3a38b.jpg", "http://cdn.wpsstatic.com/images/full/77f5-572a52fc3a38b.jpg")</f>
        <v>http://cdn.wpsstatic.com/images/full/77f5-572a52fc3a38b.jpg</v>
      </c>
      <c r="B1121" s="5" t="s">
        <v>1121</v>
      </c>
    </row>
    <row r="1122" spans="1:2" x14ac:dyDescent="0.2">
      <c r="A1122" s="4" t="str">
        <f>HYPERLINK("http://cdn.wpsstatic.com/images/full/77f5-572a52fc3a38b.jpg", "http://cdn.wpsstatic.com/images/full/77f5-572a52fc3a38b.jpg")</f>
        <v>http://cdn.wpsstatic.com/images/full/77f5-572a52fc3a38b.jpg</v>
      </c>
      <c r="B1122" s="5" t="s">
        <v>1122</v>
      </c>
    </row>
    <row r="1123" spans="1:2" x14ac:dyDescent="0.2">
      <c r="A1123" s="4" t="str">
        <f>HYPERLINK("http://cdn.wpsstatic.com/images/full/77f5-572a52fc3a38b.jpg", "http://cdn.wpsstatic.com/images/full/77f5-572a52fc3a38b.jpg")</f>
        <v>http://cdn.wpsstatic.com/images/full/77f5-572a52fc3a38b.jpg</v>
      </c>
      <c r="B1123" s="5" t="s">
        <v>1123</v>
      </c>
    </row>
    <row r="1124" spans="1:2" x14ac:dyDescent="0.2">
      <c r="A1124" s="4" t="str">
        <f>HYPERLINK("http://cdn.wpsstatic.com/images/full/77f5-572a52fc3a38b.jpg", "http://cdn.wpsstatic.com/images/full/77f5-572a52fc3a38b.jpg")</f>
        <v>http://cdn.wpsstatic.com/images/full/77f5-572a52fc3a38b.jpg</v>
      </c>
      <c r="B1124" s="5" t="s">
        <v>1124</v>
      </c>
    </row>
    <row r="1125" spans="1:2" x14ac:dyDescent="0.2">
      <c r="A1125" s="4" t="str">
        <f>HYPERLINK("http://cdn.wpsstatic.com/images/full/77f5-572a52fc3a38b.jpg", "http://cdn.wpsstatic.com/images/full/77f5-572a52fc3a38b.jpg")</f>
        <v>http://cdn.wpsstatic.com/images/full/77f5-572a52fc3a38b.jpg</v>
      </c>
      <c r="B1125" s="5" t="s">
        <v>1125</v>
      </c>
    </row>
    <row r="1126" spans="1:2" x14ac:dyDescent="0.2">
      <c r="A1126" s="4" t="str">
        <f>HYPERLINK("http://cdn.wpsstatic.com/images/full/77f5-572a52fc3a38b.jpg", "http://cdn.wpsstatic.com/images/full/77f5-572a52fc3a38b.jpg")</f>
        <v>http://cdn.wpsstatic.com/images/full/77f5-572a52fc3a38b.jpg</v>
      </c>
      <c r="B1126" s="5" t="s">
        <v>1126</v>
      </c>
    </row>
    <row r="1127" spans="1:2" x14ac:dyDescent="0.2">
      <c r="A1127" s="4" t="str">
        <f>HYPERLINK("http://cdn.wpsstatic.com/images/full/77f5-572a52fc3a38b.jpg", "http://cdn.wpsstatic.com/images/full/77f5-572a52fc3a38b.jpg")</f>
        <v>http://cdn.wpsstatic.com/images/full/77f5-572a52fc3a38b.jpg</v>
      </c>
      <c r="B1127" s="5" t="s">
        <v>1127</v>
      </c>
    </row>
    <row r="1128" spans="1:2" x14ac:dyDescent="0.2">
      <c r="A1128" s="4" t="str">
        <f>HYPERLINK("http://cdn.wpsstatic.com/images/full/77f5-572a52fc3a38b.jpg", "http://cdn.wpsstatic.com/images/full/77f5-572a52fc3a38b.jpg")</f>
        <v>http://cdn.wpsstatic.com/images/full/77f5-572a52fc3a38b.jpg</v>
      </c>
      <c r="B1128" s="5" t="s">
        <v>1128</v>
      </c>
    </row>
    <row r="1129" spans="1:2" x14ac:dyDescent="0.2">
      <c r="A1129" s="4" t="str">
        <f>HYPERLINK("http://cdn.wpsstatic.com/images/full/77f5-572a52fc3a38b.jpg", "http://cdn.wpsstatic.com/images/full/77f5-572a52fc3a38b.jpg")</f>
        <v>http://cdn.wpsstatic.com/images/full/77f5-572a52fc3a38b.jpg</v>
      </c>
      <c r="B1129" s="5" t="s">
        <v>1129</v>
      </c>
    </row>
    <row r="1130" spans="1:2" x14ac:dyDescent="0.2">
      <c r="A1130" s="4" t="str">
        <f>HYPERLINK("http://cdn.wpsstatic.com/images/full/77f5-572a52fc3a38b.jpg", "http://cdn.wpsstatic.com/images/full/77f5-572a52fc3a38b.jpg")</f>
        <v>http://cdn.wpsstatic.com/images/full/77f5-572a52fc3a38b.jpg</v>
      </c>
      <c r="B1130" s="5" t="s">
        <v>1130</v>
      </c>
    </row>
    <row r="1131" spans="1:2" x14ac:dyDescent="0.2">
      <c r="A1131" s="4" t="str">
        <f>HYPERLINK("http://cdn.wpsstatic.com/images/full/77f5-572a52fc3a38b.jpg", "http://cdn.wpsstatic.com/images/full/77f5-572a52fc3a38b.jpg")</f>
        <v>http://cdn.wpsstatic.com/images/full/77f5-572a52fc3a38b.jpg</v>
      </c>
      <c r="B1131" s="5" t="s">
        <v>1131</v>
      </c>
    </row>
    <row r="1132" spans="1:2" x14ac:dyDescent="0.2">
      <c r="A1132" s="4" t="str">
        <f>HYPERLINK("http://cdn.wpsstatic.com/images/full/77f5-572a52fc3a38b.jpg", "http://cdn.wpsstatic.com/images/full/77f5-572a52fc3a38b.jpg")</f>
        <v>http://cdn.wpsstatic.com/images/full/77f5-572a52fc3a38b.jpg</v>
      </c>
      <c r="B1132" s="5" t="s">
        <v>1132</v>
      </c>
    </row>
    <row r="1133" spans="1:2" x14ac:dyDescent="0.2">
      <c r="A1133" s="4" t="str">
        <f>HYPERLINK("http://cdn.wpsstatic.com/images/full/77f5-572a52fc3a38b.jpg", "http://cdn.wpsstatic.com/images/full/77f5-572a52fc3a38b.jpg")</f>
        <v>http://cdn.wpsstatic.com/images/full/77f5-572a52fc3a38b.jpg</v>
      </c>
      <c r="B1133" s="5" t="s">
        <v>1133</v>
      </c>
    </row>
    <row r="1134" spans="1:2" x14ac:dyDescent="0.2">
      <c r="A1134" s="4" t="str">
        <f>HYPERLINK("http://cdn.wpsstatic.com/images/full/77f5-572a52fc3a38b.jpg", "http://cdn.wpsstatic.com/images/full/77f5-572a52fc3a38b.jpg")</f>
        <v>http://cdn.wpsstatic.com/images/full/77f5-572a52fc3a38b.jpg</v>
      </c>
      <c r="B1134" s="5" t="s">
        <v>1134</v>
      </c>
    </row>
    <row r="1135" spans="1:2" x14ac:dyDescent="0.2">
      <c r="A1135" s="4" t="str">
        <f>HYPERLINK("http://cdn.wpsstatic.com/images/full/77f5-572a52fc3a38b.jpg", "http://cdn.wpsstatic.com/images/full/77f5-572a52fc3a38b.jpg")</f>
        <v>http://cdn.wpsstatic.com/images/full/77f5-572a52fc3a38b.jpg</v>
      </c>
      <c r="B1135" s="5" t="s">
        <v>1135</v>
      </c>
    </row>
    <row r="1136" spans="1:2" x14ac:dyDescent="0.2">
      <c r="A1136" s="4" t="str">
        <f>HYPERLINK("http://cdn.wpsstatic.com/images/full/77f5-572a52fc3a38b.jpg", "http://cdn.wpsstatic.com/images/full/77f5-572a52fc3a38b.jpg")</f>
        <v>http://cdn.wpsstatic.com/images/full/77f5-572a52fc3a38b.jpg</v>
      </c>
      <c r="B1136" s="5" t="s">
        <v>1136</v>
      </c>
    </row>
    <row r="1137" spans="1:2" x14ac:dyDescent="0.2">
      <c r="A1137" s="4" t="str">
        <f>HYPERLINK("http://cdn.wpsstatic.com/images/full/77f5-572a52fc3a38b.jpg", "http://cdn.wpsstatic.com/images/full/77f5-572a52fc3a38b.jpg")</f>
        <v>http://cdn.wpsstatic.com/images/full/77f5-572a52fc3a38b.jpg</v>
      </c>
      <c r="B1137" s="5" t="s">
        <v>1137</v>
      </c>
    </row>
    <row r="1138" spans="1:2" x14ac:dyDescent="0.2">
      <c r="A1138" s="4" t="str">
        <f>HYPERLINK("http://cdn.wpsstatic.com/images/full/77f5-572a52fc3a38b.jpg", "http://cdn.wpsstatic.com/images/full/77f5-572a52fc3a38b.jpg")</f>
        <v>http://cdn.wpsstatic.com/images/full/77f5-572a52fc3a38b.jpg</v>
      </c>
      <c r="B1138" s="5" t="s">
        <v>1138</v>
      </c>
    </row>
    <row r="1139" spans="1:2" x14ac:dyDescent="0.2">
      <c r="A1139" s="4" t="str">
        <f>HYPERLINK("http://cdn.wpsstatic.com/images/full/77f5-572a52fc3a38b.jpg", "http://cdn.wpsstatic.com/images/full/77f5-572a52fc3a38b.jpg")</f>
        <v>http://cdn.wpsstatic.com/images/full/77f5-572a52fc3a38b.jpg</v>
      </c>
      <c r="B1139" s="5" t="s">
        <v>1139</v>
      </c>
    </row>
    <row r="1140" spans="1:2" x14ac:dyDescent="0.2">
      <c r="A1140" s="4" t="str">
        <f>HYPERLINK("http://cdn.wpsstatic.com/images/full/77f5-572a52fc3a38b.jpg", "http://cdn.wpsstatic.com/images/full/77f5-572a52fc3a38b.jpg")</f>
        <v>http://cdn.wpsstatic.com/images/full/77f5-572a52fc3a38b.jpg</v>
      </c>
      <c r="B1140" s="5" t="s">
        <v>1140</v>
      </c>
    </row>
    <row r="1141" spans="1:2" x14ac:dyDescent="0.2">
      <c r="A1141" s="4" t="str">
        <f>HYPERLINK("http://cdn.wpsstatic.com/images/full/7810-572a5348cdcf3.jpg", "http://cdn.wpsstatic.com/images/full/7810-572a5348cdcf3.jpg")</f>
        <v>http://cdn.wpsstatic.com/images/full/7810-572a5348cdcf3.jpg</v>
      </c>
      <c r="B1141" s="5" t="s">
        <v>1141</v>
      </c>
    </row>
    <row r="1142" spans="1:2" x14ac:dyDescent="0.2">
      <c r="A1142" s="4" t="str">
        <f>HYPERLINK("http://cdn.wpsstatic.com/images/full/781d-572a546e6a4ac.jpg", "http://cdn.wpsstatic.com/images/full/781d-572a546e6a4ac.jpg")</f>
        <v>http://cdn.wpsstatic.com/images/full/781d-572a546e6a4ac.jpg</v>
      </c>
      <c r="B1142" s="5" t="s">
        <v>1142</v>
      </c>
    </row>
    <row r="1143" spans="1:2" x14ac:dyDescent="0.2">
      <c r="A1143" s="4" t="str">
        <f>HYPERLINK("http://cdn.wpsstatic.com/images/full/7833-572a53d68fcd5.jpg", "http://cdn.wpsstatic.com/images/full/7833-572a53d68fcd5.jpg")</f>
        <v>http://cdn.wpsstatic.com/images/full/7833-572a53d68fcd5.jpg</v>
      </c>
      <c r="B1143" s="5" t="s">
        <v>1143</v>
      </c>
    </row>
    <row r="1144" spans="1:2" x14ac:dyDescent="0.2">
      <c r="A1144" s="4" t="str">
        <f>HYPERLINK("http://cdn.wpsstatic.com/images/full/783b-572a52fdad777.jpg", "http://cdn.wpsstatic.com/images/full/783b-572a52fdad777.jpg")</f>
        <v>http://cdn.wpsstatic.com/images/full/783b-572a52fdad777.jpg</v>
      </c>
      <c r="B1144" s="5" t="s">
        <v>1144</v>
      </c>
    </row>
    <row r="1145" spans="1:2" x14ac:dyDescent="0.2">
      <c r="A1145" s="4" t="str">
        <f>HYPERLINK("http://cdn.wpsstatic.com/images/full/787c-5d029a6bbf79e.jpg", "http://cdn.wpsstatic.com/images/full/787c-5d029a6bbf79e.jpg")</f>
        <v>http://cdn.wpsstatic.com/images/full/787c-5d029a6bbf79e.jpg</v>
      </c>
      <c r="B1145" s="5" t="s">
        <v>1145</v>
      </c>
    </row>
    <row r="1146" spans="1:2" x14ac:dyDescent="0.2">
      <c r="A1146" s="4" t="str">
        <f>HYPERLINK("http://cdn.wpsstatic.com/images/full/7880-572a54ea206f2.jpg", "http://cdn.wpsstatic.com/images/full/7880-572a54ea206f2.jpg")</f>
        <v>http://cdn.wpsstatic.com/images/full/7880-572a54ea206f2.jpg</v>
      </c>
      <c r="B1146" s="5" t="s">
        <v>1146</v>
      </c>
    </row>
    <row r="1147" spans="1:2" x14ac:dyDescent="0.2">
      <c r="A1147" s="4" t="str">
        <f>HYPERLINK("http://cdn.wpsstatic.com/images/full/788d-572a53a3c0023.jpg", "http://cdn.wpsstatic.com/images/full/788d-572a53a3c0023.jpg")</f>
        <v>http://cdn.wpsstatic.com/images/full/788d-572a53a3c0023.jpg</v>
      </c>
      <c r="B1147" s="5" t="s">
        <v>1147</v>
      </c>
    </row>
    <row r="1148" spans="1:2" x14ac:dyDescent="0.2">
      <c r="A1148" s="4" t="str">
        <f>HYPERLINK("http://cdn.wpsstatic.com/images/full/7892-5fb44c5dd8967.jpg", "http://cdn.wpsstatic.com/images/full/7892-5fb44c5dd8967.jpg")</f>
        <v>http://cdn.wpsstatic.com/images/full/7892-5fb44c5dd8967.jpg</v>
      </c>
      <c r="B1148" s="5" t="s">
        <v>1148</v>
      </c>
    </row>
    <row r="1149" spans="1:2" x14ac:dyDescent="0.2">
      <c r="A1149" s="4" t="str">
        <f>HYPERLINK("http://cdn.wpsstatic.com/images/full/7897-572a553d96dd2.jpg", "http://cdn.wpsstatic.com/images/full/7897-572a553d96dd2.jpg")</f>
        <v>http://cdn.wpsstatic.com/images/full/7897-572a553d96dd2.jpg</v>
      </c>
      <c r="B1149" s="5" t="s">
        <v>1149</v>
      </c>
    </row>
    <row r="1150" spans="1:2" x14ac:dyDescent="0.2">
      <c r="A1150" s="4" t="str">
        <f>HYPERLINK("http://cdn.wpsstatic.com/images/full/78c6-572a551a22fc7.jpg", "http://cdn.wpsstatic.com/images/full/78c6-572a551a22fc7.jpg")</f>
        <v>http://cdn.wpsstatic.com/images/full/78c6-572a551a22fc7.jpg</v>
      </c>
      <c r="B1150" s="5" t="s">
        <v>1150</v>
      </c>
    </row>
    <row r="1151" spans="1:2" x14ac:dyDescent="0.2">
      <c r="A1151" s="4" t="str">
        <f>HYPERLINK("http://cdn.wpsstatic.com/images/full/78d0-5d0290eb6765f.jpg", "http://cdn.wpsstatic.com/images/full/78d0-5d0290eb6765f.jpg")</f>
        <v>http://cdn.wpsstatic.com/images/full/78d0-5d0290eb6765f.jpg</v>
      </c>
      <c r="B1151" s="5" t="s">
        <v>1151</v>
      </c>
    </row>
    <row r="1152" spans="1:2" x14ac:dyDescent="0.2">
      <c r="A1152" s="4" t="str">
        <f>HYPERLINK("http://cdn.wpsstatic.com/images/full/7916-572a536a37bf2.jpg", "http://cdn.wpsstatic.com/images/full/7916-572a536a37bf2.jpg")</f>
        <v>http://cdn.wpsstatic.com/images/full/7916-572a536a37bf2.jpg</v>
      </c>
      <c r="B1152" s="5" t="s">
        <v>1152</v>
      </c>
    </row>
    <row r="1153" spans="1:2" x14ac:dyDescent="0.2">
      <c r="A1153" s="4" t="str">
        <f>HYPERLINK("http://cdn.wpsstatic.com/images/full/793f-572a54097c47e.jpg", "http://cdn.wpsstatic.com/images/full/793f-572a54097c47e.jpg")</f>
        <v>http://cdn.wpsstatic.com/images/full/793f-572a54097c47e.jpg</v>
      </c>
      <c r="B1153" s="5" t="s">
        <v>1153</v>
      </c>
    </row>
    <row r="1154" spans="1:2" x14ac:dyDescent="0.2">
      <c r="A1154" s="4" t="str">
        <f>HYPERLINK("http://cdn.wpsstatic.com/images/full/7999-572a555fc2ece.jpg", "http://cdn.wpsstatic.com/images/full/7999-572a555fc2ece.jpg")</f>
        <v>http://cdn.wpsstatic.com/images/full/7999-572a555fc2ece.jpg</v>
      </c>
      <c r="B1154" s="5" t="s">
        <v>1154</v>
      </c>
    </row>
    <row r="1155" spans="1:2" x14ac:dyDescent="0.2">
      <c r="A1155" s="4" t="str">
        <f>HYPERLINK("http://cdn.wpsstatic.com/images/full/79ce-572a54bd021a3.jpg", "http://cdn.wpsstatic.com/images/full/79ce-572a54bd021a3.jpg")</f>
        <v>http://cdn.wpsstatic.com/images/full/79ce-572a54bd021a3.jpg</v>
      </c>
      <c r="B1155" s="5" t="s">
        <v>1155</v>
      </c>
    </row>
    <row r="1156" spans="1:2" x14ac:dyDescent="0.2">
      <c r="A1156" s="4" t="str">
        <f>HYPERLINK("http://cdn.wpsstatic.com/images/full/79e4-572a5471634b7.jpg", "http://cdn.wpsstatic.com/images/full/79e4-572a5471634b7.jpg")</f>
        <v>http://cdn.wpsstatic.com/images/full/79e4-572a5471634b7.jpg</v>
      </c>
      <c r="B1156" s="5" t="s">
        <v>1156</v>
      </c>
    </row>
    <row r="1157" spans="1:2" x14ac:dyDescent="0.2">
      <c r="A1157" s="4" t="str">
        <f>HYPERLINK("http://cdn.wpsstatic.com/images/full/7a22-572a53943eeeb.jpg", "http://cdn.wpsstatic.com/images/full/7a22-572a53943eeeb.jpg")</f>
        <v>http://cdn.wpsstatic.com/images/full/7a22-572a53943eeeb.jpg</v>
      </c>
      <c r="B1157" s="5" t="s">
        <v>1157</v>
      </c>
    </row>
    <row r="1158" spans="1:2" x14ac:dyDescent="0.2">
      <c r="A1158" s="4" t="str">
        <f>HYPERLINK("http://cdn.wpsstatic.com/images/full/7a40-572a538b6d5c0.jpg", "http://cdn.wpsstatic.com/images/full/7a40-572a538b6d5c0.jpg")</f>
        <v>http://cdn.wpsstatic.com/images/full/7a40-572a538b6d5c0.jpg</v>
      </c>
      <c r="B1158" s="5" t="s">
        <v>1158</v>
      </c>
    </row>
    <row r="1159" spans="1:2" x14ac:dyDescent="0.2">
      <c r="A1159" s="4" t="str">
        <f>HYPERLINK("http://cdn.wpsstatic.com/images/full/7a74-6041050184c74.jpg", "http://cdn.wpsstatic.com/images/full/7a74-6041050184c74.jpg")</f>
        <v>http://cdn.wpsstatic.com/images/full/7a74-6041050184c74.jpg</v>
      </c>
      <c r="B1159" s="5" t="s">
        <v>1159</v>
      </c>
    </row>
    <row r="1160" spans="1:2" x14ac:dyDescent="0.2">
      <c r="A1160" s="4" t="str">
        <f>HYPERLINK("http://cdn.wpsstatic.com/images/full/7a86-572a531b9d70c.jpg", "http://cdn.wpsstatic.com/images/full/7a86-572a531b9d70c.jpg")</f>
        <v>http://cdn.wpsstatic.com/images/full/7a86-572a531b9d70c.jpg</v>
      </c>
      <c r="B1160" s="5" t="s">
        <v>1160</v>
      </c>
    </row>
    <row r="1161" spans="1:2" x14ac:dyDescent="0.2">
      <c r="A1161" s="4" t="str">
        <f>HYPERLINK("http://cdn.wpsstatic.com/images/full/7ab5-572a55035d23d.jpg", "http://cdn.wpsstatic.com/images/full/7ab5-572a55035d23d.jpg")</f>
        <v>http://cdn.wpsstatic.com/images/full/7ab5-572a55035d23d.jpg</v>
      </c>
      <c r="B1161" s="5" t="s">
        <v>1161</v>
      </c>
    </row>
    <row r="1162" spans="1:2" x14ac:dyDescent="0.2">
      <c r="A1162" s="4" t="str">
        <f>HYPERLINK("http://cdn.wpsstatic.com/images/full/7af8-572a538772cdc.jpg", "http://cdn.wpsstatic.com/images/full/7af8-572a538772cdc.jpg")</f>
        <v>http://cdn.wpsstatic.com/images/full/7af8-572a538772cdc.jpg</v>
      </c>
      <c r="B1162" s="5" t="s">
        <v>1162</v>
      </c>
    </row>
    <row r="1163" spans="1:2" x14ac:dyDescent="0.2">
      <c r="A1163" s="4" t="str">
        <f>HYPERLINK("http://cdn.wpsstatic.com/images/full/7af9-572a5510d5a50.jpg", "http://cdn.wpsstatic.com/images/full/7af9-572a5510d5a50.jpg")</f>
        <v>http://cdn.wpsstatic.com/images/full/7af9-572a5510d5a50.jpg</v>
      </c>
      <c r="B1163" s="5" t="s">
        <v>1163</v>
      </c>
    </row>
    <row r="1164" spans="1:2" x14ac:dyDescent="0.2">
      <c r="A1164" s="4" t="str">
        <f>HYPERLINK("http://cdn.wpsstatic.com/images/full/7b1c-572a532aa6f4f.jpg", "http://cdn.wpsstatic.com/images/full/7b1c-572a532aa6f4f.jpg")</f>
        <v>http://cdn.wpsstatic.com/images/full/7b1c-572a532aa6f4f.jpg</v>
      </c>
      <c r="B1164" s="5" t="s">
        <v>1164</v>
      </c>
    </row>
    <row r="1165" spans="1:2" x14ac:dyDescent="0.2">
      <c r="A1165" s="4" t="str">
        <f>HYPERLINK("http://cdn.wpsstatic.com/images/full/7b56-572a54ad882d5.jpg", "http://cdn.wpsstatic.com/images/full/7b56-572a54ad882d5.jpg")</f>
        <v>http://cdn.wpsstatic.com/images/full/7b56-572a54ad882d5.jpg</v>
      </c>
      <c r="B1165" s="5" t="s">
        <v>1165</v>
      </c>
    </row>
    <row r="1166" spans="1:2" x14ac:dyDescent="0.2">
      <c r="A1166" s="4" t="str">
        <f>HYPERLINK("http://cdn.wpsstatic.com/images/full/7b89-63643b28acf88.png", "http://cdn.wpsstatic.com/images/full/7b89-63643b28acf88.png")</f>
        <v>http://cdn.wpsstatic.com/images/full/7b89-63643b28acf88.png</v>
      </c>
      <c r="B1166" s="5" t="s">
        <v>1166</v>
      </c>
    </row>
    <row r="1167" spans="1:2" x14ac:dyDescent="0.2">
      <c r="A1167" s="4" t="str">
        <f>HYPERLINK("http://cdn.wpsstatic.com/images/full/7ba2-572a548a8845a.jpg", "http://cdn.wpsstatic.com/images/full/7ba2-572a548a8845a.jpg")</f>
        <v>http://cdn.wpsstatic.com/images/full/7ba2-572a548a8845a.jpg</v>
      </c>
      <c r="B1167" s="5" t="s">
        <v>1167</v>
      </c>
    </row>
    <row r="1168" spans="1:2" x14ac:dyDescent="0.2">
      <c r="A1168" s="4" t="str">
        <f>HYPERLINK("http://cdn.wpsstatic.com/images/full/7be4-572a53e1e96a6.jpg", "http://cdn.wpsstatic.com/images/full/7be4-572a53e1e96a6.jpg")</f>
        <v>http://cdn.wpsstatic.com/images/full/7be4-572a53e1e96a6.jpg</v>
      </c>
      <c r="B1168" s="5" t="s">
        <v>1168</v>
      </c>
    </row>
    <row r="1169" spans="1:2" x14ac:dyDescent="0.2">
      <c r="A1169" s="4" t="str">
        <f>HYPERLINK("http://cdn.wpsstatic.com/images/full/7be8-5fb845f802ca4.jpg", "http://cdn.wpsstatic.com/images/full/7be8-5fb845f802ca4.jpg")</f>
        <v>http://cdn.wpsstatic.com/images/full/7be8-5fb845f802ca4.jpg</v>
      </c>
      <c r="B1169" s="5" t="s">
        <v>1169</v>
      </c>
    </row>
    <row r="1170" spans="1:2" x14ac:dyDescent="0.2">
      <c r="A1170" s="4" t="str">
        <f>HYPERLINK("http://cdn.wpsstatic.com/images/full/7beb-5d7900a5467f7.jpg", "http://cdn.wpsstatic.com/images/full/7beb-5d7900a5467f7.jpg")</f>
        <v>http://cdn.wpsstatic.com/images/full/7beb-5d7900a5467f7.jpg</v>
      </c>
      <c r="B1170" s="5" t="s">
        <v>1170</v>
      </c>
    </row>
    <row r="1171" spans="1:2" x14ac:dyDescent="0.2">
      <c r="A1171" s="4" t="str">
        <f>HYPERLINK("http://cdn.wpsstatic.com/images/full/7bf4-572a5401c9ba1.jpg", "http://cdn.wpsstatic.com/images/full/7bf4-572a5401c9ba1.jpg")</f>
        <v>http://cdn.wpsstatic.com/images/full/7bf4-572a5401c9ba1.jpg</v>
      </c>
      <c r="B1171" s="5" t="s">
        <v>1171</v>
      </c>
    </row>
    <row r="1172" spans="1:2" x14ac:dyDescent="0.2">
      <c r="A1172" s="4" t="str">
        <f>HYPERLINK("http://cdn.wpsstatic.com/images/full/7c11-572a563cb06c9.jpg", "http://cdn.wpsstatic.com/images/full/7c11-572a563cb06c9.jpg")</f>
        <v>http://cdn.wpsstatic.com/images/full/7c11-572a563cb06c9.jpg</v>
      </c>
      <c r="B1172" s="5" t="s">
        <v>1172</v>
      </c>
    </row>
    <row r="1173" spans="1:2" x14ac:dyDescent="0.2">
      <c r="A1173" s="4" t="str">
        <f>HYPERLINK("http://cdn.wpsstatic.com/images/full/7c2d-5d0296bee55e4.jpg", "http://cdn.wpsstatic.com/images/full/7c2d-5d0296bee55e4.jpg")</f>
        <v>http://cdn.wpsstatic.com/images/full/7c2d-5d0296bee55e4.jpg</v>
      </c>
      <c r="B1173" s="5" t="s">
        <v>1173</v>
      </c>
    </row>
    <row r="1174" spans="1:2" x14ac:dyDescent="0.2">
      <c r="A1174" s="4" t="str">
        <f>HYPERLINK("http://cdn.wpsstatic.com/images/full/7c3e-58d58fd0d965c.jpg", "http://cdn.wpsstatic.com/images/full/7c3e-58d58fd0d965c.jpg")</f>
        <v>http://cdn.wpsstatic.com/images/full/7c3e-58d58fd0d965c.jpg</v>
      </c>
      <c r="B1174" s="5" t="s">
        <v>1174</v>
      </c>
    </row>
    <row r="1175" spans="1:2" x14ac:dyDescent="0.2">
      <c r="A1175" s="4" t="str">
        <f>HYPERLINK("http://cdn.wpsstatic.com/images/full/7c47-572a537dbb904.jpg", "http://cdn.wpsstatic.com/images/full/7c47-572a537dbb904.jpg")</f>
        <v>http://cdn.wpsstatic.com/images/full/7c47-572a537dbb904.jpg</v>
      </c>
      <c r="B1175" s="5" t="s">
        <v>1175</v>
      </c>
    </row>
    <row r="1176" spans="1:2" x14ac:dyDescent="0.2">
      <c r="A1176" s="4" t="str">
        <f>HYPERLINK("http://cdn.wpsstatic.com/images/full/7c5e-572a54162e610.jpg", "http://cdn.wpsstatic.com/images/full/7c5e-572a54162e610.jpg")</f>
        <v>http://cdn.wpsstatic.com/images/full/7c5e-572a54162e610.jpg</v>
      </c>
      <c r="B1176" s="5" t="s">
        <v>1176</v>
      </c>
    </row>
    <row r="1177" spans="1:2" x14ac:dyDescent="0.2">
      <c r="A1177" s="4" t="str">
        <f>HYPERLINK("http://cdn.wpsstatic.com/images/full/7c64-572a53c2de9bc.jpg", "http://cdn.wpsstatic.com/images/full/7c64-572a53c2de9bc.jpg")</f>
        <v>http://cdn.wpsstatic.com/images/full/7c64-572a53c2de9bc.jpg</v>
      </c>
      <c r="B1177" s="5" t="s">
        <v>1177</v>
      </c>
    </row>
    <row r="1178" spans="1:2" x14ac:dyDescent="0.2">
      <c r="A1178" s="4" t="str">
        <f>HYPERLINK("http://cdn.wpsstatic.com/images/full/7c8b-5885c1f40b9f6.jpg", "http://cdn.wpsstatic.com/images/full/7c8b-5885c1f40b9f6.jpg")</f>
        <v>http://cdn.wpsstatic.com/images/full/7c8b-5885c1f40b9f6.jpg</v>
      </c>
      <c r="B1178" s="5" t="s">
        <v>1178</v>
      </c>
    </row>
    <row r="1179" spans="1:2" x14ac:dyDescent="0.2">
      <c r="A1179" s="4" t="str">
        <f>HYPERLINK("http://cdn.wpsstatic.com/images/full/7c99-572a54aa3fadc.jpg", "http://cdn.wpsstatic.com/images/full/7c99-572a54aa3fadc.jpg")</f>
        <v>http://cdn.wpsstatic.com/images/full/7c99-572a54aa3fadc.jpg</v>
      </c>
      <c r="B1179" s="5" t="s">
        <v>1179</v>
      </c>
    </row>
    <row r="1180" spans="1:2" x14ac:dyDescent="0.2">
      <c r="A1180" s="4" t="str">
        <f>HYPERLINK("http://cdn.wpsstatic.com/images/full/7ca0-572a5533d91bb.jpg", "http://cdn.wpsstatic.com/images/full/7ca0-572a5533d91bb.jpg")</f>
        <v>http://cdn.wpsstatic.com/images/full/7ca0-572a5533d91bb.jpg</v>
      </c>
      <c r="B1180" s="5" t="s">
        <v>1180</v>
      </c>
    </row>
    <row r="1181" spans="1:2" x14ac:dyDescent="0.2">
      <c r="A1181" s="4" t="str">
        <f>HYPERLINK("http://cdn.wpsstatic.com/images/full/7ca0-572a5533d91bb.jpg", "http://cdn.wpsstatic.com/images/full/7ca0-572a5533d91bb.jpg")</f>
        <v>http://cdn.wpsstatic.com/images/full/7ca0-572a5533d91bb.jpg</v>
      </c>
      <c r="B1181" s="5" t="s">
        <v>1181</v>
      </c>
    </row>
    <row r="1182" spans="1:2" x14ac:dyDescent="0.2">
      <c r="A1182" s="4" t="str">
        <f>HYPERLINK("http://cdn.wpsstatic.com/images/full/7ca0-572a5533d91bb.jpg", "http://cdn.wpsstatic.com/images/full/7ca0-572a5533d91bb.jpg")</f>
        <v>http://cdn.wpsstatic.com/images/full/7ca0-572a5533d91bb.jpg</v>
      </c>
      <c r="B1182" s="5" t="s">
        <v>1182</v>
      </c>
    </row>
    <row r="1183" spans="1:2" x14ac:dyDescent="0.2">
      <c r="A1183" s="4" t="str">
        <f>HYPERLINK("http://cdn.wpsstatic.com/images/full/7ca0-572a5533d91bb.jpg", "http://cdn.wpsstatic.com/images/full/7ca0-572a5533d91bb.jpg")</f>
        <v>http://cdn.wpsstatic.com/images/full/7ca0-572a5533d91bb.jpg</v>
      </c>
      <c r="B1183" s="5" t="s">
        <v>1183</v>
      </c>
    </row>
    <row r="1184" spans="1:2" x14ac:dyDescent="0.2">
      <c r="A1184" s="4" t="str">
        <f>HYPERLINK("http://cdn.wpsstatic.com/images/full/7ca0-572a5533d91bb.jpg", "http://cdn.wpsstatic.com/images/full/7ca0-572a5533d91bb.jpg")</f>
        <v>http://cdn.wpsstatic.com/images/full/7ca0-572a5533d91bb.jpg</v>
      </c>
      <c r="B1184" s="5" t="s">
        <v>1184</v>
      </c>
    </row>
    <row r="1185" spans="1:2" x14ac:dyDescent="0.2">
      <c r="A1185" s="4" t="str">
        <f>HYPERLINK("http://cdn.wpsstatic.com/images/full/7ca0-572a5533d91bb.jpg", "http://cdn.wpsstatic.com/images/full/7ca0-572a5533d91bb.jpg")</f>
        <v>http://cdn.wpsstatic.com/images/full/7ca0-572a5533d91bb.jpg</v>
      </c>
      <c r="B1185" s="5" t="s">
        <v>1185</v>
      </c>
    </row>
    <row r="1186" spans="1:2" x14ac:dyDescent="0.2">
      <c r="A1186" s="4" t="str">
        <f>HYPERLINK("http://cdn.wpsstatic.com/images/full/7ca0-572a5533d91bb.jpg", "http://cdn.wpsstatic.com/images/full/7ca0-572a5533d91bb.jpg")</f>
        <v>http://cdn.wpsstatic.com/images/full/7ca0-572a5533d91bb.jpg</v>
      </c>
      <c r="B1186" s="5" t="s">
        <v>1186</v>
      </c>
    </row>
    <row r="1187" spans="1:2" x14ac:dyDescent="0.2">
      <c r="A1187" s="4" t="str">
        <f>HYPERLINK("http://cdn.wpsstatic.com/images/full/7ca0-572a5533d91bb.jpg", "http://cdn.wpsstatic.com/images/full/7ca0-572a5533d91bb.jpg")</f>
        <v>http://cdn.wpsstatic.com/images/full/7ca0-572a5533d91bb.jpg</v>
      </c>
      <c r="B1187" s="5" t="s">
        <v>1187</v>
      </c>
    </row>
    <row r="1188" spans="1:2" x14ac:dyDescent="0.2">
      <c r="A1188" s="4" t="str">
        <f>HYPERLINK("http://cdn.wpsstatic.com/images/full/7ca0-572a5533d91bb.jpg", "http://cdn.wpsstatic.com/images/full/7ca0-572a5533d91bb.jpg")</f>
        <v>http://cdn.wpsstatic.com/images/full/7ca0-572a5533d91bb.jpg</v>
      </c>
      <c r="B1188" s="5" t="s">
        <v>1188</v>
      </c>
    </row>
    <row r="1189" spans="1:2" x14ac:dyDescent="0.2">
      <c r="A1189" s="4" t="str">
        <f>HYPERLINK("http://cdn.wpsstatic.com/images/full/7ca0-572a5533d91bb.jpg", "http://cdn.wpsstatic.com/images/full/7ca0-572a5533d91bb.jpg")</f>
        <v>http://cdn.wpsstatic.com/images/full/7ca0-572a5533d91bb.jpg</v>
      </c>
      <c r="B1189" s="5" t="s">
        <v>1189</v>
      </c>
    </row>
    <row r="1190" spans="1:2" x14ac:dyDescent="0.2">
      <c r="A1190" s="4" t="str">
        <f>HYPERLINK("http://cdn.wpsstatic.com/images/full/7ca0-572a5533d91bb.jpg", "http://cdn.wpsstatic.com/images/full/7ca0-572a5533d91bb.jpg")</f>
        <v>http://cdn.wpsstatic.com/images/full/7ca0-572a5533d91bb.jpg</v>
      </c>
      <c r="B1190" s="5" t="s">
        <v>1190</v>
      </c>
    </row>
    <row r="1191" spans="1:2" x14ac:dyDescent="0.2">
      <c r="A1191" s="4" t="str">
        <f>HYPERLINK("http://cdn.wpsstatic.com/images/full/7ca0-572a5533d91bb.jpg", "http://cdn.wpsstatic.com/images/full/7ca0-572a5533d91bb.jpg")</f>
        <v>http://cdn.wpsstatic.com/images/full/7ca0-572a5533d91bb.jpg</v>
      </c>
      <c r="B1191" s="5" t="s">
        <v>1191</v>
      </c>
    </row>
    <row r="1192" spans="1:2" x14ac:dyDescent="0.2">
      <c r="A1192" s="4" t="str">
        <f>HYPERLINK("http://cdn.wpsstatic.com/images/full/7ca0-572a5533d91bb.jpg", "http://cdn.wpsstatic.com/images/full/7ca0-572a5533d91bb.jpg")</f>
        <v>http://cdn.wpsstatic.com/images/full/7ca0-572a5533d91bb.jpg</v>
      </c>
      <c r="B1192" s="5" t="s">
        <v>1192</v>
      </c>
    </row>
    <row r="1193" spans="1:2" x14ac:dyDescent="0.2">
      <c r="A1193" s="4" t="str">
        <f>HYPERLINK("http://cdn.wpsstatic.com/images/full/7ca0-572a5533d91bb.jpg", "http://cdn.wpsstatic.com/images/full/7ca0-572a5533d91bb.jpg")</f>
        <v>http://cdn.wpsstatic.com/images/full/7ca0-572a5533d91bb.jpg</v>
      </c>
      <c r="B1193" s="5" t="s">
        <v>1193</v>
      </c>
    </row>
    <row r="1194" spans="1:2" x14ac:dyDescent="0.2">
      <c r="A1194" s="4" t="str">
        <f>HYPERLINK("http://cdn.wpsstatic.com/images/full/7ca0-572a5533d91bb.jpg", "http://cdn.wpsstatic.com/images/full/7ca0-572a5533d91bb.jpg")</f>
        <v>http://cdn.wpsstatic.com/images/full/7ca0-572a5533d91bb.jpg</v>
      </c>
      <c r="B1194" s="5" t="s">
        <v>1194</v>
      </c>
    </row>
    <row r="1195" spans="1:2" x14ac:dyDescent="0.2">
      <c r="A1195" s="4" t="str">
        <f>HYPERLINK("http://cdn.wpsstatic.com/images/full/7ca0-572a5533d91bb.jpg", "http://cdn.wpsstatic.com/images/full/7ca0-572a5533d91bb.jpg")</f>
        <v>http://cdn.wpsstatic.com/images/full/7ca0-572a5533d91bb.jpg</v>
      </c>
      <c r="B1195" s="5" t="s">
        <v>1195</v>
      </c>
    </row>
    <row r="1196" spans="1:2" x14ac:dyDescent="0.2">
      <c r="A1196" s="4" t="str">
        <f>HYPERLINK("http://cdn.wpsstatic.com/images/full/7ca0-572a5533d91bb.jpg", "http://cdn.wpsstatic.com/images/full/7ca0-572a5533d91bb.jpg")</f>
        <v>http://cdn.wpsstatic.com/images/full/7ca0-572a5533d91bb.jpg</v>
      </c>
      <c r="B1196" s="5" t="s">
        <v>1196</v>
      </c>
    </row>
    <row r="1197" spans="1:2" x14ac:dyDescent="0.2">
      <c r="A1197" s="4" t="str">
        <f>HYPERLINK("http://cdn.wpsstatic.com/images/full/7ca0-572a5533d91bb.jpg", "http://cdn.wpsstatic.com/images/full/7ca0-572a5533d91bb.jpg")</f>
        <v>http://cdn.wpsstatic.com/images/full/7ca0-572a5533d91bb.jpg</v>
      </c>
      <c r="B1197" s="5" t="s">
        <v>1197</v>
      </c>
    </row>
    <row r="1198" spans="1:2" x14ac:dyDescent="0.2">
      <c r="A1198" s="4" t="str">
        <f>HYPERLINK("http://cdn.wpsstatic.com/images/full/7ca0-572a5533d91bb.jpg", "http://cdn.wpsstatic.com/images/full/7ca0-572a5533d91bb.jpg")</f>
        <v>http://cdn.wpsstatic.com/images/full/7ca0-572a5533d91bb.jpg</v>
      </c>
      <c r="B1198" s="5" t="s">
        <v>1198</v>
      </c>
    </row>
    <row r="1199" spans="1:2" x14ac:dyDescent="0.2">
      <c r="A1199" s="4" t="str">
        <f>HYPERLINK("http://cdn.wpsstatic.com/images/full/7ca0-572a5533d91bb.jpg", "http://cdn.wpsstatic.com/images/full/7ca0-572a5533d91bb.jpg")</f>
        <v>http://cdn.wpsstatic.com/images/full/7ca0-572a5533d91bb.jpg</v>
      </c>
      <c r="B1199" s="5" t="s">
        <v>1199</v>
      </c>
    </row>
    <row r="1200" spans="1:2" x14ac:dyDescent="0.2">
      <c r="A1200" s="4" t="str">
        <f>HYPERLINK("http://cdn.wpsstatic.com/images/full/7ca0-572a5533d91bb.jpg", "http://cdn.wpsstatic.com/images/full/7ca0-572a5533d91bb.jpg")</f>
        <v>http://cdn.wpsstatic.com/images/full/7ca0-572a5533d91bb.jpg</v>
      </c>
      <c r="B1200" s="5" t="s">
        <v>1200</v>
      </c>
    </row>
    <row r="1201" spans="1:2" x14ac:dyDescent="0.2">
      <c r="A1201" s="4" t="str">
        <f>HYPERLINK("http://cdn.wpsstatic.com/images/full/7ca0-572a5533d91bb.jpg", "http://cdn.wpsstatic.com/images/full/7ca0-572a5533d91bb.jpg")</f>
        <v>http://cdn.wpsstatic.com/images/full/7ca0-572a5533d91bb.jpg</v>
      </c>
      <c r="B1201" s="5" t="s">
        <v>1201</v>
      </c>
    </row>
    <row r="1202" spans="1:2" x14ac:dyDescent="0.2">
      <c r="A1202" s="4" t="str">
        <f>HYPERLINK("http://cdn.wpsstatic.com/images/full/7ca0-572a5533d91bb.jpg", "http://cdn.wpsstatic.com/images/full/7ca0-572a5533d91bb.jpg")</f>
        <v>http://cdn.wpsstatic.com/images/full/7ca0-572a5533d91bb.jpg</v>
      </c>
      <c r="B1202" s="5" t="s">
        <v>1202</v>
      </c>
    </row>
    <row r="1203" spans="1:2" x14ac:dyDescent="0.2">
      <c r="A1203" s="4" t="str">
        <f>HYPERLINK("http://cdn.wpsstatic.com/images/full/7ca0-572a5533d91bb.jpg", "http://cdn.wpsstatic.com/images/full/7ca0-572a5533d91bb.jpg")</f>
        <v>http://cdn.wpsstatic.com/images/full/7ca0-572a5533d91bb.jpg</v>
      </c>
      <c r="B1203" s="5" t="s">
        <v>1203</v>
      </c>
    </row>
    <row r="1204" spans="1:2" x14ac:dyDescent="0.2">
      <c r="A1204" s="4" t="str">
        <f>HYPERLINK("http://cdn.wpsstatic.com/images/full/7ca0-572a5533d91bb.jpg", "http://cdn.wpsstatic.com/images/full/7ca0-572a5533d91bb.jpg")</f>
        <v>http://cdn.wpsstatic.com/images/full/7ca0-572a5533d91bb.jpg</v>
      </c>
      <c r="B1204" s="5" t="s">
        <v>1204</v>
      </c>
    </row>
    <row r="1205" spans="1:2" x14ac:dyDescent="0.2">
      <c r="A1205" s="4" t="str">
        <f>HYPERLINK("http://cdn.wpsstatic.com/images/full/7ca0-572a5533d91bb.jpg", "http://cdn.wpsstatic.com/images/full/7ca0-572a5533d91bb.jpg")</f>
        <v>http://cdn.wpsstatic.com/images/full/7ca0-572a5533d91bb.jpg</v>
      </c>
      <c r="B1205" s="5" t="s">
        <v>1205</v>
      </c>
    </row>
    <row r="1206" spans="1:2" x14ac:dyDescent="0.2">
      <c r="A1206" s="4" t="str">
        <f>HYPERLINK("http://cdn.wpsstatic.com/images/full/7ca0-572a5533d91bb.jpg", "http://cdn.wpsstatic.com/images/full/7ca0-572a5533d91bb.jpg")</f>
        <v>http://cdn.wpsstatic.com/images/full/7ca0-572a5533d91bb.jpg</v>
      </c>
      <c r="B1206" s="5" t="s">
        <v>1206</v>
      </c>
    </row>
    <row r="1207" spans="1:2" x14ac:dyDescent="0.2">
      <c r="A1207" s="4" t="str">
        <f>HYPERLINK("http://cdn.wpsstatic.com/images/full/7ca0-572a5533d91bb.jpg", "http://cdn.wpsstatic.com/images/full/7ca0-572a5533d91bb.jpg")</f>
        <v>http://cdn.wpsstatic.com/images/full/7ca0-572a5533d91bb.jpg</v>
      </c>
      <c r="B1207" s="5" t="s">
        <v>1207</v>
      </c>
    </row>
    <row r="1208" spans="1:2" x14ac:dyDescent="0.2">
      <c r="A1208" s="4" t="str">
        <f>HYPERLINK("http://cdn.wpsstatic.com/images/full/7ca0-572a5533d91bb.jpg", "http://cdn.wpsstatic.com/images/full/7ca0-572a5533d91bb.jpg")</f>
        <v>http://cdn.wpsstatic.com/images/full/7ca0-572a5533d91bb.jpg</v>
      </c>
      <c r="B1208" s="5" t="s">
        <v>1208</v>
      </c>
    </row>
    <row r="1209" spans="1:2" x14ac:dyDescent="0.2">
      <c r="A1209" s="4" t="str">
        <f>HYPERLINK("http://cdn.wpsstatic.com/images/full/7ca0-572a5533d91bb.jpg", "http://cdn.wpsstatic.com/images/full/7ca0-572a5533d91bb.jpg")</f>
        <v>http://cdn.wpsstatic.com/images/full/7ca0-572a5533d91bb.jpg</v>
      </c>
      <c r="B1209" s="5" t="s">
        <v>1209</v>
      </c>
    </row>
    <row r="1210" spans="1:2" x14ac:dyDescent="0.2">
      <c r="A1210" s="4" t="str">
        <f>HYPERLINK("http://cdn.wpsstatic.com/images/full/7ca0-572a5533d91bb.jpg", "http://cdn.wpsstatic.com/images/full/7ca0-572a5533d91bb.jpg")</f>
        <v>http://cdn.wpsstatic.com/images/full/7ca0-572a5533d91bb.jpg</v>
      </c>
      <c r="B1210" s="5" t="s">
        <v>1210</v>
      </c>
    </row>
    <row r="1211" spans="1:2" x14ac:dyDescent="0.2">
      <c r="A1211" s="4" t="str">
        <f>HYPERLINK("http://cdn.wpsstatic.com/images/full/7ca0-572a5533d91bb.jpg", "http://cdn.wpsstatic.com/images/full/7ca0-572a5533d91bb.jpg")</f>
        <v>http://cdn.wpsstatic.com/images/full/7ca0-572a5533d91bb.jpg</v>
      </c>
      <c r="B1211" s="5" t="s">
        <v>1211</v>
      </c>
    </row>
    <row r="1212" spans="1:2" x14ac:dyDescent="0.2">
      <c r="A1212" s="4" t="str">
        <f>HYPERLINK("http://cdn.wpsstatic.com/images/full/7ca0-572a5533d91bb.jpg", "http://cdn.wpsstatic.com/images/full/7ca0-572a5533d91bb.jpg")</f>
        <v>http://cdn.wpsstatic.com/images/full/7ca0-572a5533d91bb.jpg</v>
      </c>
      <c r="B1212" s="5" t="s">
        <v>1212</v>
      </c>
    </row>
    <row r="1213" spans="1:2" x14ac:dyDescent="0.2">
      <c r="A1213" s="4" t="str">
        <f>HYPERLINK("http://cdn.wpsstatic.com/images/full/7ca0-572a5533d91bb.jpg", "http://cdn.wpsstatic.com/images/full/7ca0-572a5533d91bb.jpg")</f>
        <v>http://cdn.wpsstatic.com/images/full/7ca0-572a5533d91bb.jpg</v>
      </c>
      <c r="B1213" s="5" t="s">
        <v>1213</v>
      </c>
    </row>
    <row r="1214" spans="1:2" x14ac:dyDescent="0.2">
      <c r="A1214" s="4" t="str">
        <f>HYPERLINK("http://cdn.wpsstatic.com/images/full/7ca0-572a5533d91bb.jpg", "http://cdn.wpsstatic.com/images/full/7ca0-572a5533d91bb.jpg")</f>
        <v>http://cdn.wpsstatic.com/images/full/7ca0-572a5533d91bb.jpg</v>
      </c>
      <c r="B1214" s="5" t="s">
        <v>1214</v>
      </c>
    </row>
    <row r="1215" spans="1:2" x14ac:dyDescent="0.2">
      <c r="A1215" s="4" t="str">
        <f>HYPERLINK("http://cdn.wpsstatic.com/images/full/7ca0-572a5533d91bb.jpg", "http://cdn.wpsstatic.com/images/full/7ca0-572a5533d91bb.jpg")</f>
        <v>http://cdn.wpsstatic.com/images/full/7ca0-572a5533d91bb.jpg</v>
      </c>
      <c r="B1215" s="5" t="s">
        <v>1215</v>
      </c>
    </row>
    <row r="1216" spans="1:2" x14ac:dyDescent="0.2">
      <c r="A1216" s="4" t="str">
        <f>HYPERLINK("http://cdn.wpsstatic.com/images/full/7ca0-572a5533d91bb.jpg", "http://cdn.wpsstatic.com/images/full/7ca0-572a5533d91bb.jpg")</f>
        <v>http://cdn.wpsstatic.com/images/full/7ca0-572a5533d91bb.jpg</v>
      </c>
      <c r="B1216" s="5" t="s">
        <v>1216</v>
      </c>
    </row>
    <row r="1217" spans="1:2" x14ac:dyDescent="0.2">
      <c r="A1217" s="4" t="str">
        <f>HYPERLINK("http://cdn.wpsstatic.com/images/full/7ca0-572a5533d91bb.jpg", "http://cdn.wpsstatic.com/images/full/7ca0-572a5533d91bb.jpg")</f>
        <v>http://cdn.wpsstatic.com/images/full/7ca0-572a5533d91bb.jpg</v>
      </c>
      <c r="B1217" s="5" t="s">
        <v>1217</v>
      </c>
    </row>
    <row r="1218" spans="1:2" x14ac:dyDescent="0.2">
      <c r="A1218" s="4" t="str">
        <f>HYPERLINK("http://cdn.wpsstatic.com/images/full/7ca0-572a5533d91bb.jpg", "http://cdn.wpsstatic.com/images/full/7ca0-572a5533d91bb.jpg")</f>
        <v>http://cdn.wpsstatic.com/images/full/7ca0-572a5533d91bb.jpg</v>
      </c>
      <c r="B1218" s="5" t="s">
        <v>1218</v>
      </c>
    </row>
    <row r="1219" spans="1:2" x14ac:dyDescent="0.2">
      <c r="A1219" s="4" t="str">
        <f>HYPERLINK("http://cdn.wpsstatic.com/images/full/7ca0-572a5533d91bb.jpg", "http://cdn.wpsstatic.com/images/full/7ca0-572a5533d91bb.jpg")</f>
        <v>http://cdn.wpsstatic.com/images/full/7ca0-572a5533d91bb.jpg</v>
      </c>
      <c r="B1219" s="5" t="s">
        <v>1219</v>
      </c>
    </row>
    <row r="1220" spans="1:2" x14ac:dyDescent="0.2">
      <c r="A1220" s="4" t="str">
        <f>HYPERLINK("http://cdn.wpsstatic.com/images/full/7cc9-572a537f19685.jpg", "http://cdn.wpsstatic.com/images/full/7cc9-572a537f19685.jpg")</f>
        <v>http://cdn.wpsstatic.com/images/full/7cc9-572a537f19685.jpg</v>
      </c>
      <c r="B1220" s="5" t="s">
        <v>1220</v>
      </c>
    </row>
    <row r="1221" spans="1:2" x14ac:dyDescent="0.2">
      <c r="A1221" s="4" t="str">
        <f>HYPERLINK("http://cdn.wpsstatic.com/images/full/7d1e-572a55633cd10.jpg", "http://cdn.wpsstatic.com/images/full/7d1e-572a55633cd10.jpg")</f>
        <v>http://cdn.wpsstatic.com/images/full/7d1e-572a55633cd10.jpg</v>
      </c>
      <c r="B1221" s="5" t="s">
        <v>1221</v>
      </c>
    </row>
    <row r="1222" spans="1:2" x14ac:dyDescent="0.2">
      <c r="A1222" s="4" t="str">
        <f>HYPERLINK("http://cdn.wpsstatic.com/images/full/7d3d-5d029923558d9.jpg", "http://cdn.wpsstatic.com/images/full/7d3d-5d029923558d9.jpg")</f>
        <v>http://cdn.wpsstatic.com/images/full/7d3d-5d029923558d9.jpg</v>
      </c>
      <c r="B1222" s="5" t="s">
        <v>1222</v>
      </c>
    </row>
    <row r="1223" spans="1:2" x14ac:dyDescent="0.2">
      <c r="A1223" s="4" t="str">
        <f>HYPERLINK("http://cdn.wpsstatic.com/images/full/7d58-5d78ffda53c89.jpg", "http://cdn.wpsstatic.com/images/full/7d58-5d78ffda53c89.jpg")</f>
        <v>http://cdn.wpsstatic.com/images/full/7d58-5d78ffda53c89.jpg</v>
      </c>
      <c r="B1223" s="5" t="s">
        <v>1223</v>
      </c>
    </row>
    <row r="1224" spans="1:2" x14ac:dyDescent="0.2">
      <c r="A1224" s="4" t="str">
        <f>HYPERLINK("http://cdn.wpsstatic.com/images/full/7d9e-572a75018df4e.jpg", "http://cdn.wpsstatic.com/images/full/7d9e-572a75018df4e.jpg")</f>
        <v>http://cdn.wpsstatic.com/images/full/7d9e-572a75018df4e.jpg</v>
      </c>
      <c r="B1224" s="5" t="s">
        <v>1224</v>
      </c>
    </row>
    <row r="1225" spans="1:2" x14ac:dyDescent="0.2">
      <c r="A1225" s="4" t="str">
        <f>HYPERLINK("http://cdn.wpsstatic.com/images/full/7db9-6171d70f1bf12.png", "http://cdn.wpsstatic.com/images/full/7db9-6171d70f1bf12.png")</f>
        <v>http://cdn.wpsstatic.com/images/full/7db9-6171d70f1bf12.png</v>
      </c>
      <c r="B1225" s="5" t="s">
        <v>1225</v>
      </c>
    </row>
    <row r="1226" spans="1:2" x14ac:dyDescent="0.2">
      <c r="A1226" s="4" t="str">
        <f>HYPERLINK("http://cdn.wpsstatic.com/images/full/7dd1-5f5794be24649.jpg", "http://cdn.wpsstatic.com/images/full/7dd1-5f5794be24649.jpg")</f>
        <v>http://cdn.wpsstatic.com/images/full/7dd1-5f5794be24649.jpg</v>
      </c>
      <c r="B1226" s="5" t="s">
        <v>1226</v>
      </c>
    </row>
    <row r="1227" spans="1:2" x14ac:dyDescent="0.2">
      <c r="A1227" s="4" t="str">
        <f>HYPERLINK("http://cdn.wpsstatic.com/images/full/7de2-6040f8574f537.jpg", "http://cdn.wpsstatic.com/images/full/7de2-6040f8574f537.jpg")</f>
        <v>http://cdn.wpsstatic.com/images/full/7de2-6040f8574f537.jpg</v>
      </c>
      <c r="B1227" s="5" t="s">
        <v>1227</v>
      </c>
    </row>
    <row r="1228" spans="1:2" x14ac:dyDescent="0.2">
      <c r="A1228" s="4" t="str">
        <f>HYPERLINK("http://cdn.wpsstatic.com/images/full/7e1a-5f5785bc0e213.jpg", "http://cdn.wpsstatic.com/images/full/7e1a-5f5785bc0e213.jpg")</f>
        <v>http://cdn.wpsstatic.com/images/full/7e1a-5f5785bc0e213.jpg</v>
      </c>
      <c r="B1228" s="5" t="s">
        <v>1228</v>
      </c>
    </row>
    <row r="1229" spans="1:2" x14ac:dyDescent="0.2">
      <c r="A1229" s="4" t="str">
        <f>HYPERLINK("http://cdn.wpsstatic.com/images/full/7e29-572a535aed04e.jpg", "http://cdn.wpsstatic.com/images/full/7e29-572a535aed04e.jpg")</f>
        <v>http://cdn.wpsstatic.com/images/full/7e29-572a535aed04e.jpg</v>
      </c>
      <c r="B1229" s="5" t="s">
        <v>1229</v>
      </c>
    </row>
    <row r="1230" spans="1:2" x14ac:dyDescent="0.2">
      <c r="A1230" s="4" t="str">
        <f>HYPERLINK("http://cdn.wpsstatic.com/images/full/7e3d-5fb455584c8ff.jpg", "http://cdn.wpsstatic.com/images/full/7e3d-5fb455584c8ff.jpg")</f>
        <v>http://cdn.wpsstatic.com/images/full/7e3d-5fb455584c8ff.jpg</v>
      </c>
      <c r="B1230" s="5" t="s">
        <v>1230</v>
      </c>
    </row>
    <row r="1231" spans="1:2" x14ac:dyDescent="0.2">
      <c r="A1231" s="4" t="str">
        <f>HYPERLINK("http://cdn.wpsstatic.com/images/full/7e64-572a5314d9115.jpg", "http://cdn.wpsstatic.com/images/full/7e64-572a5314d9115.jpg")</f>
        <v>http://cdn.wpsstatic.com/images/full/7e64-572a5314d9115.jpg</v>
      </c>
      <c r="B1231" s="5" t="s">
        <v>1231</v>
      </c>
    </row>
    <row r="1232" spans="1:2" x14ac:dyDescent="0.2">
      <c r="A1232" s="4" t="str">
        <f>HYPERLINK("http://cdn.wpsstatic.com/images/full/7e73-572a53234710a.jpg", "http://cdn.wpsstatic.com/images/full/7e73-572a53234710a.jpg")</f>
        <v>http://cdn.wpsstatic.com/images/full/7e73-572a53234710a.jpg</v>
      </c>
      <c r="B1232" s="5" t="s">
        <v>1232</v>
      </c>
    </row>
    <row r="1233" spans="1:2" x14ac:dyDescent="0.2">
      <c r="A1233" s="4" t="str">
        <f>HYPERLINK("http://cdn.wpsstatic.com/images/full/7ef9-572a552b8e50c.jpg", "http://cdn.wpsstatic.com/images/full/7ef9-572a552b8e50c.jpg")</f>
        <v>http://cdn.wpsstatic.com/images/full/7ef9-572a552b8e50c.jpg</v>
      </c>
      <c r="B1233" s="5" t="s">
        <v>1233</v>
      </c>
    </row>
    <row r="1234" spans="1:2" x14ac:dyDescent="0.2">
      <c r="A1234" s="4" t="str">
        <f>HYPERLINK("http://cdn.wpsstatic.com/images/full/7f25-58d58f89b1a26.jpg", "http://cdn.wpsstatic.com/images/full/7f25-58d58f89b1a26.jpg")</f>
        <v>http://cdn.wpsstatic.com/images/full/7f25-58d58f89b1a26.jpg</v>
      </c>
      <c r="B1234" s="5" t="s">
        <v>1234</v>
      </c>
    </row>
    <row r="1235" spans="1:2" x14ac:dyDescent="0.2">
      <c r="A1235" s="4" t="str">
        <f>HYPERLINK("http://cdn.wpsstatic.com/images/full/7f26-572a5599d721e.jpg", "http://cdn.wpsstatic.com/images/full/7f26-572a5599d721e.jpg")</f>
        <v>http://cdn.wpsstatic.com/images/full/7f26-572a5599d721e.jpg</v>
      </c>
      <c r="B1235" s="5" t="s">
        <v>1235</v>
      </c>
    </row>
    <row r="1236" spans="1:2" x14ac:dyDescent="0.2">
      <c r="A1236" s="4" t="str">
        <f>HYPERLINK("http://cdn.wpsstatic.com/images/full/7f42-5d028dd953ee1.jpg", "http://cdn.wpsstatic.com/images/full/7f42-5d028dd953ee1.jpg")</f>
        <v>http://cdn.wpsstatic.com/images/full/7f42-5d028dd953ee1.jpg</v>
      </c>
      <c r="B1236" s="5" t="s">
        <v>1236</v>
      </c>
    </row>
    <row r="1237" spans="1:2" x14ac:dyDescent="0.2">
      <c r="A1237" s="4" t="str">
        <f>HYPERLINK("http://cdn.wpsstatic.com/images/full/7f79-572a531c1b5ca.jpg", "http://cdn.wpsstatic.com/images/full/7f79-572a531c1b5ca.jpg")</f>
        <v>http://cdn.wpsstatic.com/images/full/7f79-572a531c1b5ca.jpg</v>
      </c>
      <c r="B1237" s="5" t="s">
        <v>1237</v>
      </c>
    </row>
    <row r="1238" spans="1:2" x14ac:dyDescent="0.2">
      <c r="A1238" s="4" t="str">
        <f>HYPERLINK("http://cdn.wpsstatic.com/images/full/7f86-572a55392ee4a.jpg", "http://cdn.wpsstatic.com/images/full/7f86-572a55392ee4a.jpg")</f>
        <v>http://cdn.wpsstatic.com/images/full/7f86-572a55392ee4a.jpg</v>
      </c>
      <c r="B1238" s="5" t="s">
        <v>1238</v>
      </c>
    </row>
    <row r="1239" spans="1:2" x14ac:dyDescent="0.2">
      <c r="A1239" s="4" t="str">
        <f>HYPERLINK("http://cdn.wpsstatic.com/images/full/7f8d-572a5620f00b4.jpg", "http://cdn.wpsstatic.com/images/full/7f8d-572a5620f00b4.jpg")</f>
        <v>http://cdn.wpsstatic.com/images/full/7f8d-572a5620f00b4.jpg</v>
      </c>
      <c r="B1239" s="5" t="s">
        <v>1239</v>
      </c>
    </row>
    <row r="1240" spans="1:2" x14ac:dyDescent="0.2">
      <c r="A1240" s="4" t="str">
        <f>HYPERLINK("http://cdn.wpsstatic.com/images/full/7f8e-572a532ff1a17.jpg", "http://cdn.wpsstatic.com/images/full/7f8e-572a532ff1a17.jpg")</f>
        <v>http://cdn.wpsstatic.com/images/full/7f8e-572a532ff1a17.jpg</v>
      </c>
      <c r="B1240" s="5" t="s">
        <v>1240</v>
      </c>
    </row>
    <row r="1241" spans="1:2" x14ac:dyDescent="0.2">
      <c r="A1241" s="4" t="str">
        <f>HYPERLINK("http://cdn.wpsstatic.com/images/full/7f95-572a52853f0e1.jpg", "http://cdn.wpsstatic.com/images/full/7f95-572a52853f0e1.jpg")</f>
        <v>http://cdn.wpsstatic.com/images/full/7f95-572a52853f0e1.jpg</v>
      </c>
      <c r="B1241" s="5" t="s">
        <v>1241</v>
      </c>
    </row>
    <row r="1242" spans="1:2" x14ac:dyDescent="0.2">
      <c r="A1242" s="4" t="str">
        <f>HYPERLINK("http://cdn.wpsstatic.com/images/full/7faa-572a534b4f9a6.jpg", "http://cdn.wpsstatic.com/images/full/7faa-572a534b4f9a6.jpg")</f>
        <v>http://cdn.wpsstatic.com/images/full/7faa-572a534b4f9a6.jpg</v>
      </c>
      <c r="B1242" s="5" t="s">
        <v>1242</v>
      </c>
    </row>
    <row r="1243" spans="1:2" x14ac:dyDescent="0.2">
      <c r="A1243" s="4" t="str">
        <f>HYPERLINK("http://cdn.wpsstatic.com/images/full/7fb0-572a52c9227a6.jpg", "http://cdn.wpsstatic.com/images/full/7fb0-572a52c9227a6.jpg")</f>
        <v>http://cdn.wpsstatic.com/images/full/7fb0-572a52c9227a6.jpg</v>
      </c>
      <c r="B1243" s="5" t="s">
        <v>1243</v>
      </c>
    </row>
    <row r="1244" spans="1:2" x14ac:dyDescent="0.2">
      <c r="A1244" s="4" t="str">
        <f>HYPERLINK("http://cdn.wpsstatic.com/images/full/7fb1-5885c17986bc9.jpg", "http://cdn.wpsstatic.com/images/full/7fb1-5885c17986bc9.jpg")</f>
        <v>http://cdn.wpsstatic.com/images/full/7fb1-5885c17986bc9.jpg</v>
      </c>
      <c r="B1244" s="5" t="s">
        <v>1244</v>
      </c>
    </row>
    <row r="1245" spans="1:2" x14ac:dyDescent="0.2">
      <c r="A1245" s="4" t="str">
        <f>HYPERLINK("http://cdn.wpsstatic.com/images/full/7fc2-572a54da9dbad.jpg", "http://cdn.wpsstatic.com/images/full/7fc2-572a54da9dbad.jpg")</f>
        <v>http://cdn.wpsstatic.com/images/full/7fc2-572a54da9dbad.jpg</v>
      </c>
      <c r="B1245" s="5" t="s">
        <v>1245</v>
      </c>
    </row>
    <row r="1246" spans="1:2" x14ac:dyDescent="0.2">
      <c r="A1246" s="4" t="str">
        <f>HYPERLINK("http://cdn.wpsstatic.com/images/full/7fe4-572a55abb812e.jpg", "http://cdn.wpsstatic.com/images/full/7fe4-572a55abb812e.jpg")</f>
        <v>http://cdn.wpsstatic.com/images/full/7fe4-572a55abb812e.jpg</v>
      </c>
      <c r="B1246" s="5" t="s">
        <v>1246</v>
      </c>
    </row>
    <row r="1247" spans="1:2" x14ac:dyDescent="0.2">
      <c r="A1247" s="4" t="str">
        <f>HYPERLINK("http://cdn.wpsstatic.com/images/full/8014-572a548c3c48c.jpg", "http://cdn.wpsstatic.com/images/full/8014-572a548c3c48c.jpg")</f>
        <v>http://cdn.wpsstatic.com/images/full/8014-572a548c3c48c.jpg</v>
      </c>
      <c r="B1247" s="5" t="s">
        <v>1247</v>
      </c>
    </row>
    <row r="1248" spans="1:2" x14ac:dyDescent="0.2">
      <c r="A1248" s="4" t="str">
        <f>HYPERLINK("http://cdn.wpsstatic.com/images/full/8022-572a74fa4d740.jpg", "http://cdn.wpsstatic.com/images/full/8022-572a74fa4d740.jpg")</f>
        <v>http://cdn.wpsstatic.com/images/full/8022-572a74fa4d740.jpg</v>
      </c>
      <c r="B1248" s="5" t="s">
        <v>1248</v>
      </c>
    </row>
    <row r="1249" spans="1:2" x14ac:dyDescent="0.2">
      <c r="A1249" s="4" t="str">
        <f>HYPERLINK("http://cdn.wpsstatic.com/images/full/8035-572a530f7c3c7.jpg", "http://cdn.wpsstatic.com/images/full/8035-572a530f7c3c7.jpg")</f>
        <v>http://cdn.wpsstatic.com/images/full/8035-572a530f7c3c7.jpg</v>
      </c>
      <c r="B1249" s="5" t="s">
        <v>1249</v>
      </c>
    </row>
    <row r="1250" spans="1:2" x14ac:dyDescent="0.2">
      <c r="A1250" s="4" t="str">
        <f>HYPERLINK("http://cdn.wpsstatic.com/images/full/803c-5f57915436461.jpg", "http://cdn.wpsstatic.com/images/full/803c-5f57915436461.jpg")</f>
        <v>http://cdn.wpsstatic.com/images/full/803c-5f57915436461.jpg</v>
      </c>
      <c r="B1250" s="5" t="s">
        <v>1250</v>
      </c>
    </row>
    <row r="1251" spans="1:2" x14ac:dyDescent="0.2">
      <c r="A1251" s="4" t="str">
        <f>HYPERLINK("http://cdn.wpsstatic.com/images/full/803e-5d79010eec02d.jpg", "http://cdn.wpsstatic.com/images/full/803e-5d79010eec02d.jpg")</f>
        <v>http://cdn.wpsstatic.com/images/full/803e-5d79010eec02d.jpg</v>
      </c>
      <c r="B1251" s="5" t="s">
        <v>1251</v>
      </c>
    </row>
    <row r="1252" spans="1:2" x14ac:dyDescent="0.2">
      <c r="A1252" s="4" t="str">
        <f>HYPERLINK("http://cdn.wpsstatic.com/images/full/8041-5885c1cb65b9b.jpg", "http://cdn.wpsstatic.com/images/full/8041-5885c1cb65b9b.jpg")</f>
        <v>http://cdn.wpsstatic.com/images/full/8041-5885c1cb65b9b.jpg</v>
      </c>
      <c r="B1252" s="5" t="s">
        <v>1252</v>
      </c>
    </row>
    <row r="1253" spans="1:2" x14ac:dyDescent="0.2">
      <c r="A1253" s="4" t="str">
        <f>HYPERLINK("http://cdn.wpsstatic.com/images/full/8054-5d02962cd9c8b.jpg", "http://cdn.wpsstatic.com/images/full/8054-5d02962cd9c8b.jpg")</f>
        <v>http://cdn.wpsstatic.com/images/full/8054-5d02962cd9c8b.jpg</v>
      </c>
      <c r="B1253" s="5" t="s">
        <v>1253</v>
      </c>
    </row>
    <row r="1254" spans="1:2" x14ac:dyDescent="0.2">
      <c r="A1254" s="4" t="str">
        <f>HYPERLINK("http://cdn.wpsstatic.com/images/full/806c-572a540f8edec.jpg", "http://cdn.wpsstatic.com/images/full/806c-572a540f8edec.jpg")</f>
        <v>http://cdn.wpsstatic.com/images/full/806c-572a540f8edec.jpg</v>
      </c>
      <c r="B1254" s="5" t="s">
        <v>1254</v>
      </c>
    </row>
    <row r="1255" spans="1:2" x14ac:dyDescent="0.2">
      <c r="A1255" s="4" t="str">
        <f>HYPERLINK("http://cdn.wpsstatic.com/images/full/8086-572a53c245908.jpg", "http://cdn.wpsstatic.com/images/full/8086-572a53c245908.jpg")</f>
        <v>http://cdn.wpsstatic.com/images/full/8086-572a53c245908.jpg</v>
      </c>
      <c r="B1255" s="5" t="s">
        <v>1255</v>
      </c>
    </row>
    <row r="1256" spans="1:2" x14ac:dyDescent="0.2">
      <c r="A1256" s="4" t="str">
        <f>HYPERLINK("http://cdn.wpsstatic.com/images/full/809e-572a55ada72ca.jpg", "http://cdn.wpsstatic.com/images/full/809e-572a55ada72ca.jpg")</f>
        <v>http://cdn.wpsstatic.com/images/full/809e-572a55ada72ca.jpg</v>
      </c>
      <c r="B1256" s="5" t="s">
        <v>1256</v>
      </c>
    </row>
    <row r="1257" spans="1:2" x14ac:dyDescent="0.2">
      <c r="A1257" s="4" t="str">
        <f>HYPERLINK("http://cdn.wpsstatic.com/images/full/809e-59516433ddff8.jpg", "http://cdn.wpsstatic.com/images/full/809e-59516433ddff8.jpg")</f>
        <v>http://cdn.wpsstatic.com/images/full/809e-59516433ddff8.jpg</v>
      </c>
      <c r="B1257" s="5" t="s">
        <v>1257</v>
      </c>
    </row>
    <row r="1258" spans="1:2" x14ac:dyDescent="0.2">
      <c r="A1258" s="4" t="str">
        <f>HYPERLINK("http://cdn.wpsstatic.com/images/full/809e-5d79002668fd8.jpg", "http://cdn.wpsstatic.com/images/full/809e-5d79002668fd8.jpg")</f>
        <v>http://cdn.wpsstatic.com/images/full/809e-5d79002668fd8.jpg</v>
      </c>
      <c r="B1258" s="5" t="s">
        <v>1258</v>
      </c>
    </row>
    <row r="1259" spans="1:2" x14ac:dyDescent="0.2">
      <c r="A1259" s="4" t="str">
        <f>HYPERLINK("http://cdn.wpsstatic.com/images/full/80a3-572a54d46e042.jpg", "http://cdn.wpsstatic.com/images/full/80a3-572a54d46e042.jpg")</f>
        <v>http://cdn.wpsstatic.com/images/full/80a3-572a54d46e042.jpg</v>
      </c>
      <c r="B1259" s="5" t="s">
        <v>1259</v>
      </c>
    </row>
    <row r="1260" spans="1:2" x14ac:dyDescent="0.2">
      <c r="A1260" s="4" t="str">
        <f>HYPERLINK("http://cdn.wpsstatic.com/images/full/80a8-572a53c369709.jpg", "http://cdn.wpsstatic.com/images/full/80a8-572a53c369709.jpg")</f>
        <v>http://cdn.wpsstatic.com/images/full/80a8-572a53c369709.jpg</v>
      </c>
      <c r="B1260" s="5" t="s">
        <v>1260</v>
      </c>
    </row>
    <row r="1261" spans="1:2" x14ac:dyDescent="0.2">
      <c r="A1261" s="4" t="str">
        <f>HYPERLINK("http://cdn.wpsstatic.com/images/full/8103-572a54d58e178.jpg", "http://cdn.wpsstatic.com/images/full/8103-572a54d58e178.jpg")</f>
        <v>http://cdn.wpsstatic.com/images/full/8103-572a54d58e178.jpg</v>
      </c>
      <c r="B1261" s="5" t="s">
        <v>1261</v>
      </c>
    </row>
    <row r="1262" spans="1:2" x14ac:dyDescent="0.2">
      <c r="A1262" s="4" t="str">
        <f>HYPERLINK("http://cdn.wpsstatic.com/images/full/8130-6171d7fd2d84f.png", "http://cdn.wpsstatic.com/images/full/8130-6171d7fd2d84f.png")</f>
        <v>http://cdn.wpsstatic.com/images/full/8130-6171d7fd2d84f.png</v>
      </c>
      <c r="B1262" s="5" t="s">
        <v>1262</v>
      </c>
    </row>
    <row r="1263" spans="1:2" x14ac:dyDescent="0.2">
      <c r="A1263" s="4" t="str">
        <f>HYPERLINK("http://cdn.wpsstatic.com/images/full/8152-572a540dd3383.jpg", "http://cdn.wpsstatic.com/images/full/8152-572a540dd3383.jpg")</f>
        <v>http://cdn.wpsstatic.com/images/full/8152-572a540dd3383.jpg</v>
      </c>
      <c r="B1263" s="5" t="s">
        <v>1263</v>
      </c>
    </row>
    <row r="1264" spans="1:2" x14ac:dyDescent="0.2">
      <c r="A1264" s="4" t="str">
        <f>HYPERLINK("http://cdn.wpsstatic.com/images/full/815e-572a53f9052bd.jpg", "http://cdn.wpsstatic.com/images/full/815e-572a53f9052bd.jpg")</f>
        <v>http://cdn.wpsstatic.com/images/full/815e-572a53f9052bd.jpg</v>
      </c>
      <c r="B1264" s="5" t="s">
        <v>1264</v>
      </c>
    </row>
    <row r="1265" spans="1:2" x14ac:dyDescent="0.2">
      <c r="A1265" s="4" t="str">
        <f>HYPERLINK("http://cdn.wpsstatic.com/images/full/8167-572a54721b769.jpg", "http://cdn.wpsstatic.com/images/full/8167-572a54721b769.jpg")</f>
        <v>http://cdn.wpsstatic.com/images/full/8167-572a54721b769.jpg</v>
      </c>
      <c r="B1265" s="5" t="s">
        <v>1265</v>
      </c>
    </row>
    <row r="1266" spans="1:2" x14ac:dyDescent="0.2">
      <c r="A1266" s="4" t="str">
        <f>HYPERLINK("http://cdn.wpsstatic.com/images/full/818a-5d028f0d2bd43.jpg", "http://cdn.wpsstatic.com/images/full/818a-5d028f0d2bd43.jpg")</f>
        <v>http://cdn.wpsstatic.com/images/full/818a-5d028f0d2bd43.jpg</v>
      </c>
      <c r="B1266" s="5" t="s">
        <v>1266</v>
      </c>
    </row>
    <row r="1267" spans="1:2" x14ac:dyDescent="0.2">
      <c r="A1267" s="4" t="str">
        <f>HYPERLINK("http://cdn.wpsstatic.com/images/full/81ab-572a551ee0fd2.jpg", "http://cdn.wpsstatic.com/images/full/81ab-572a551ee0fd2.jpg")</f>
        <v>http://cdn.wpsstatic.com/images/full/81ab-572a551ee0fd2.jpg</v>
      </c>
      <c r="B1267" s="5" t="s">
        <v>1267</v>
      </c>
    </row>
    <row r="1268" spans="1:2" x14ac:dyDescent="0.2">
      <c r="A1268" s="4" t="str">
        <f>HYPERLINK("http://cdn.wpsstatic.com/images/full/81ac-6040fe215a4cf.jpg", "http://cdn.wpsstatic.com/images/full/81ac-6040fe215a4cf.jpg")</f>
        <v>http://cdn.wpsstatic.com/images/full/81ac-6040fe215a4cf.jpg</v>
      </c>
      <c r="B1268" s="5" t="s">
        <v>1268</v>
      </c>
    </row>
    <row r="1269" spans="1:2" x14ac:dyDescent="0.2">
      <c r="A1269" s="4" t="str">
        <f>HYPERLINK("http://cdn.wpsstatic.com/images/full/820f-5885c166604f3.jpg", "http://cdn.wpsstatic.com/images/full/820f-5885c166604f3.jpg")</f>
        <v>http://cdn.wpsstatic.com/images/full/820f-5885c166604f3.jpg</v>
      </c>
      <c r="B1269" s="5" t="s">
        <v>1269</v>
      </c>
    </row>
    <row r="1270" spans="1:2" x14ac:dyDescent="0.2">
      <c r="A1270" s="4" t="str">
        <f>HYPERLINK("http://cdn.wpsstatic.com/images/full/821b-572a5346e6304.jpg", "http://cdn.wpsstatic.com/images/full/821b-572a5346e6304.jpg")</f>
        <v>http://cdn.wpsstatic.com/images/full/821b-572a5346e6304.jpg</v>
      </c>
      <c r="B1270" s="5" t="s">
        <v>1270</v>
      </c>
    </row>
    <row r="1271" spans="1:2" x14ac:dyDescent="0.2">
      <c r="A1271" s="4" t="str">
        <f>HYPERLINK("http://cdn.wpsstatic.com/images/full/8243-572a542faed26.jpg", "http://cdn.wpsstatic.com/images/full/8243-572a542faed26.jpg")</f>
        <v>http://cdn.wpsstatic.com/images/full/8243-572a542faed26.jpg</v>
      </c>
      <c r="B1271" s="5" t="s">
        <v>1271</v>
      </c>
    </row>
    <row r="1272" spans="1:2" x14ac:dyDescent="0.2">
      <c r="A1272" s="4" t="str">
        <f>HYPERLINK("http://cdn.wpsstatic.com/images/full/8248-572a5547ab7ca.jpg", "http://cdn.wpsstatic.com/images/full/8248-572a5547ab7ca.jpg")</f>
        <v>http://cdn.wpsstatic.com/images/full/8248-572a5547ab7ca.jpg</v>
      </c>
      <c r="B1272" s="5" t="s">
        <v>1272</v>
      </c>
    </row>
    <row r="1273" spans="1:2" x14ac:dyDescent="0.2">
      <c r="A1273" s="4" t="str">
        <f>HYPERLINK("http://cdn.wpsstatic.com/images/full/825a-5d0297260533e.jpg", "http://cdn.wpsstatic.com/images/full/825a-5d0297260533e.jpg")</f>
        <v>http://cdn.wpsstatic.com/images/full/825a-5d0297260533e.jpg</v>
      </c>
      <c r="B1273" s="5" t="s">
        <v>1273</v>
      </c>
    </row>
    <row r="1274" spans="1:2" x14ac:dyDescent="0.2">
      <c r="A1274" s="4" t="str">
        <f>HYPERLINK("http://cdn.wpsstatic.com/images/full/8267-572a5410b3abb.jpg", "http://cdn.wpsstatic.com/images/full/8267-572a5410b3abb.jpg")</f>
        <v>http://cdn.wpsstatic.com/images/full/8267-572a5410b3abb.jpg</v>
      </c>
      <c r="B1274" s="5" t="s">
        <v>1274</v>
      </c>
    </row>
    <row r="1275" spans="1:2" x14ac:dyDescent="0.2">
      <c r="A1275" s="4" t="str">
        <f>HYPERLINK("http://cdn.wpsstatic.com/images/full/828d-5f579aca01813.jpg", "http://cdn.wpsstatic.com/images/full/828d-5f579aca01813.jpg")</f>
        <v>http://cdn.wpsstatic.com/images/full/828d-5f579aca01813.jpg</v>
      </c>
      <c r="B1275" s="5" t="s">
        <v>1275</v>
      </c>
    </row>
    <row r="1276" spans="1:2" x14ac:dyDescent="0.2">
      <c r="A1276" s="4" t="str">
        <f>HYPERLINK("http://cdn.wpsstatic.com/images/full/8298-572a53b52167d.jpg", "http://cdn.wpsstatic.com/images/full/8298-572a53b52167d.jpg")</f>
        <v>http://cdn.wpsstatic.com/images/full/8298-572a53b52167d.jpg</v>
      </c>
      <c r="B1276" s="5" t="s">
        <v>1276</v>
      </c>
    </row>
    <row r="1277" spans="1:2" x14ac:dyDescent="0.2">
      <c r="A1277" s="4" t="str">
        <f>HYPERLINK("http://cdn.wpsstatic.com/images/full/82a6-572a745ef0326.jpg", "http://cdn.wpsstatic.com/images/full/82a6-572a745ef0326.jpg")</f>
        <v>http://cdn.wpsstatic.com/images/full/82a6-572a745ef0326.jpg</v>
      </c>
      <c r="B1277" s="5" t="s">
        <v>1277</v>
      </c>
    </row>
    <row r="1278" spans="1:2" x14ac:dyDescent="0.2">
      <c r="A1278" s="4" t="str">
        <f>HYPERLINK("http://cdn.wpsstatic.com/images/full/82df-572a5487ca9cb.jpg", "http://cdn.wpsstatic.com/images/full/82df-572a5487ca9cb.jpg")</f>
        <v>http://cdn.wpsstatic.com/images/full/82df-572a5487ca9cb.jpg</v>
      </c>
      <c r="B1278" s="5" t="s">
        <v>1278</v>
      </c>
    </row>
    <row r="1279" spans="1:2" x14ac:dyDescent="0.2">
      <c r="A1279" s="4" t="str">
        <f>HYPERLINK("http://cdn.wpsstatic.com/images/full/82e4-572a5424e7fbd.jpg", "http://cdn.wpsstatic.com/images/full/82e4-572a5424e7fbd.jpg")</f>
        <v>http://cdn.wpsstatic.com/images/full/82e4-572a5424e7fbd.jpg</v>
      </c>
      <c r="B1279" s="5" t="s">
        <v>1279</v>
      </c>
    </row>
    <row r="1280" spans="1:2" x14ac:dyDescent="0.2">
      <c r="A1280" s="4" t="str">
        <f>HYPERLINK("http://cdn.wpsstatic.com/images/full/8325-572a5525215d7.jpg", "http://cdn.wpsstatic.com/images/full/8325-572a5525215d7.jpg")</f>
        <v>http://cdn.wpsstatic.com/images/full/8325-572a5525215d7.jpg</v>
      </c>
      <c r="B1280" s="5" t="s">
        <v>1280</v>
      </c>
    </row>
    <row r="1281" spans="1:2" x14ac:dyDescent="0.2">
      <c r="A1281" s="4" t="str">
        <f>HYPERLINK("http://cdn.wpsstatic.com/images/full/8329-5f57a08820b2e.jpg", "http://cdn.wpsstatic.com/images/full/8329-5f57a08820b2e.jpg")</f>
        <v>http://cdn.wpsstatic.com/images/full/8329-5f57a08820b2e.jpg</v>
      </c>
      <c r="B1281" s="5" t="s">
        <v>1281</v>
      </c>
    </row>
    <row r="1282" spans="1:2" x14ac:dyDescent="0.2">
      <c r="A1282" s="4" t="str">
        <f>HYPERLINK("http://cdn.wpsstatic.com/images/full/832d-572a74f91910a.jpg", "http://cdn.wpsstatic.com/images/full/832d-572a74f91910a.jpg")</f>
        <v>http://cdn.wpsstatic.com/images/full/832d-572a74f91910a.jpg</v>
      </c>
      <c r="B1282" s="5" t="s">
        <v>1282</v>
      </c>
    </row>
    <row r="1283" spans="1:2" x14ac:dyDescent="0.2">
      <c r="A1283" s="4" t="str">
        <f>HYPERLINK("http://cdn.wpsstatic.com/images/full/834f-572a5469acf3b.jpg", "http://cdn.wpsstatic.com/images/full/834f-572a5469acf3b.jpg")</f>
        <v>http://cdn.wpsstatic.com/images/full/834f-572a5469acf3b.jpg</v>
      </c>
      <c r="B1283" s="5" t="s">
        <v>1283</v>
      </c>
    </row>
    <row r="1284" spans="1:2" x14ac:dyDescent="0.2">
      <c r="A1284" s="4" t="str">
        <f>HYPERLINK("http://cdn.wpsstatic.com/images/full/8355-572a52af78429.jpg", "http://cdn.wpsstatic.com/images/full/8355-572a52af78429.jpg")</f>
        <v>http://cdn.wpsstatic.com/images/full/8355-572a52af78429.jpg</v>
      </c>
      <c r="B1284" s="5" t="s">
        <v>1284</v>
      </c>
    </row>
    <row r="1285" spans="1:2" x14ac:dyDescent="0.2">
      <c r="A1285" s="4" t="str">
        <f>HYPERLINK("http://cdn.wpsstatic.com/images/full/836c-572a74f9d90fd.jpg", "http://cdn.wpsstatic.com/images/full/836c-572a74f9d90fd.jpg")</f>
        <v>http://cdn.wpsstatic.com/images/full/836c-572a74f9d90fd.jpg</v>
      </c>
      <c r="B1285" s="5" t="s">
        <v>1285</v>
      </c>
    </row>
    <row r="1286" spans="1:2" x14ac:dyDescent="0.2">
      <c r="A1286" s="4" t="str">
        <f>HYPERLINK("http://cdn.wpsstatic.com/images/full/83a3-572a53c572eee.jpg", "http://cdn.wpsstatic.com/images/full/83a3-572a53c572eee.jpg")</f>
        <v>http://cdn.wpsstatic.com/images/full/83a3-572a53c572eee.jpg</v>
      </c>
      <c r="B1286" s="5" t="s">
        <v>1286</v>
      </c>
    </row>
    <row r="1287" spans="1:2" x14ac:dyDescent="0.2">
      <c r="A1287" s="4" t="str">
        <f>HYPERLINK("http://cdn.wpsstatic.com/images/full/83f5-572a549ab6928.jpg", "http://cdn.wpsstatic.com/images/full/83f5-572a549ab6928.jpg")</f>
        <v>http://cdn.wpsstatic.com/images/full/83f5-572a549ab6928.jpg</v>
      </c>
      <c r="B1287" s="5" t="s">
        <v>1287</v>
      </c>
    </row>
    <row r="1288" spans="1:2" x14ac:dyDescent="0.2">
      <c r="A1288" s="4" t="str">
        <f>HYPERLINK("http://cdn.wpsstatic.com/images/full/844d-572a5563d8f32.jpg", "http://cdn.wpsstatic.com/images/full/844d-572a5563d8f32.jpg")</f>
        <v>http://cdn.wpsstatic.com/images/full/844d-572a5563d8f32.jpg</v>
      </c>
      <c r="B1288" s="5" t="s">
        <v>1288</v>
      </c>
    </row>
    <row r="1289" spans="1:2" x14ac:dyDescent="0.2">
      <c r="A1289" s="4" t="str">
        <f>HYPERLINK("http://cdn.wpsstatic.com/images/full/8477-572a527160ff7.jpg", "http://cdn.wpsstatic.com/images/full/8477-572a527160ff7.jpg")</f>
        <v>http://cdn.wpsstatic.com/images/full/8477-572a527160ff7.jpg</v>
      </c>
      <c r="B1289" s="5" t="s">
        <v>1289</v>
      </c>
    </row>
    <row r="1290" spans="1:2" x14ac:dyDescent="0.2">
      <c r="A1290" s="4" t="str">
        <f>HYPERLINK("http://cdn.wpsstatic.com/images/full/847f-572a540830107.jpg", "http://cdn.wpsstatic.com/images/full/847f-572a540830107.jpg")</f>
        <v>http://cdn.wpsstatic.com/images/full/847f-572a540830107.jpg</v>
      </c>
      <c r="B1290" s="5" t="s">
        <v>1290</v>
      </c>
    </row>
    <row r="1291" spans="1:2" x14ac:dyDescent="0.2">
      <c r="A1291" s="4" t="str">
        <f>HYPERLINK("http://cdn.wpsstatic.com/images/full/8483-572a536c4db65.jpg", "http://cdn.wpsstatic.com/images/full/8483-572a536c4db65.jpg")</f>
        <v>http://cdn.wpsstatic.com/images/full/8483-572a536c4db65.jpg</v>
      </c>
      <c r="B1291" s="5" t="s">
        <v>1291</v>
      </c>
    </row>
    <row r="1292" spans="1:2" x14ac:dyDescent="0.2">
      <c r="A1292" s="4" t="str">
        <f>HYPERLINK("http://cdn.wpsstatic.com/images/full/853c-572a549f8a4ad.jpg", "http://cdn.wpsstatic.com/images/full/853c-572a549f8a4ad.jpg")</f>
        <v>http://cdn.wpsstatic.com/images/full/853c-572a549f8a4ad.jpg</v>
      </c>
      <c r="B1292" s="5" t="s">
        <v>1292</v>
      </c>
    </row>
    <row r="1293" spans="1:2" x14ac:dyDescent="0.2">
      <c r="A1293" s="4" t="str">
        <f>HYPERLINK("http://cdn.wpsstatic.com/images/full/8540-572a53cd9f1ab.jpg", "http://cdn.wpsstatic.com/images/full/8540-572a53cd9f1ab.jpg")</f>
        <v>http://cdn.wpsstatic.com/images/full/8540-572a53cd9f1ab.jpg</v>
      </c>
      <c r="B1293" s="5" t="s">
        <v>1293</v>
      </c>
    </row>
    <row r="1294" spans="1:2" x14ac:dyDescent="0.2">
      <c r="A1294" s="4" t="str">
        <f>HYPERLINK("http://cdn.wpsstatic.com/images/full/8542-572a5596d17fa.jpg", "http://cdn.wpsstatic.com/images/full/8542-572a5596d17fa.jpg")</f>
        <v>http://cdn.wpsstatic.com/images/full/8542-572a5596d17fa.jpg</v>
      </c>
      <c r="B1294" s="5" t="s">
        <v>1294</v>
      </c>
    </row>
    <row r="1295" spans="1:2" x14ac:dyDescent="0.2">
      <c r="A1295" s="4" t="str">
        <f>HYPERLINK("http://cdn.wpsstatic.com/images/full/855c-572a545c16225.jpg", "http://cdn.wpsstatic.com/images/full/855c-572a545c16225.jpg")</f>
        <v>http://cdn.wpsstatic.com/images/full/855c-572a545c16225.jpg</v>
      </c>
      <c r="B1295" s="5" t="s">
        <v>1295</v>
      </c>
    </row>
    <row r="1296" spans="1:2" x14ac:dyDescent="0.2">
      <c r="A1296" s="4" t="str">
        <f>HYPERLINK("http://cdn.wpsstatic.com/images/full/857e-572a53e32d490.jpg", "http://cdn.wpsstatic.com/images/full/857e-572a53e32d490.jpg")</f>
        <v>http://cdn.wpsstatic.com/images/full/857e-572a53e32d490.jpg</v>
      </c>
      <c r="B1296" s="5" t="s">
        <v>1296</v>
      </c>
    </row>
    <row r="1297" spans="1:2" x14ac:dyDescent="0.2">
      <c r="A1297" s="4" t="str">
        <f>HYPERLINK("http://cdn.wpsstatic.com/images/full/85bd-572a53a9cdbd9.jpg", "http://cdn.wpsstatic.com/images/full/85bd-572a53a9cdbd9.jpg")</f>
        <v>http://cdn.wpsstatic.com/images/full/85bd-572a53a9cdbd9.jpg</v>
      </c>
      <c r="B1297" s="5" t="s">
        <v>1297</v>
      </c>
    </row>
    <row r="1298" spans="1:2" x14ac:dyDescent="0.2">
      <c r="A1298" s="4" t="str">
        <f>HYPERLINK("http://cdn.wpsstatic.com/images/full/861b-572a52ad554eb.jpg", "http://cdn.wpsstatic.com/images/full/861b-572a52ad554eb.jpg")</f>
        <v>http://cdn.wpsstatic.com/images/full/861b-572a52ad554eb.jpg</v>
      </c>
      <c r="B1298" s="5" t="s">
        <v>1298</v>
      </c>
    </row>
    <row r="1299" spans="1:2" x14ac:dyDescent="0.2">
      <c r="A1299" s="4" t="str">
        <f>HYPERLINK("http://cdn.wpsstatic.com/images/full/861d-5a283a2b14bfa.jpg", "http://cdn.wpsstatic.com/images/full/861d-5a283a2b14bfa.jpg")</f>
        <v>http://cdn.wpsstatic.com/images/full/861d-5a283a2b14bfa.jpg</v>
      </c>
      <c r="B1299" s="5" t="s">
        <v>1299</v>
      </c>
    </row>
    <row r="1300" spans="1:2" x14ac:dyDescent="0.2">
      <c r="A1300" s="4" t="str">
        <f>HYPERLINK("http://cdn.wpsstatic.com/images/full/861f-572a5647c8d70.jpg", "http://cdn.wpsstatic.com/images/full/861f-572a5647c8d70.jpg")</f>
        <v>http://cdn.wpsstatic.com/images/full/861f-572a5647c8d70.jpg</v>
      </c>
      <c r="B1300" s="5" t="s">
        <v>1300</v>
      </c>
    </row>
    <row r="1301" spans="1:2" x14ac:dyDescent="0.2">
      <c r="A1301" s="4" t="str">
        <f>HYPERLINK("http://cdn.wpsstatic.com/images/full/864a-572a53fd50019.jpg", "http://cdn.wpsstatic.com/images/full/864a-572a53fd50019.jpg")</f>
        <v>http://cdn.wpsstatic.com/images/full/864a-572a53fd50019.jpg</v>
      </c>
      <c r="B1301" s="5" t="s">
        <v>1301</v>
      </c>
    </row>
    <row r="1302" spans="1:2" x14ac:dyDescent="0.2">
      <c r="A1302" s="4" t="str">
        <f>HYPERLINK("http://cdn.wpsstatic.com/images/full/8687-572a543272782.jpg", "http://cdn.wpsstatic.com/images/full/8687-572a543272782.jpg")</f>
        <v>http://cdn.wpsstatic.com/images/full/8687-572a543272782.jpg</v>
      </c>
      <c r="B1302" s="5" t="s">
        <v>1302</v>
      </c>
    </row>
    <row r="1303" spans="1:2" x14ac:dyDescent="0.2">
      <c r="A1303" s="4" t="str">
        <f>HYPERLINK("http://cdn.wpsstatic.com/images/full/8689-572a54b74d427.jpg", "http://cdn.wpsstatic.com/images/full/8689-572a54b74d427.jpg")</f>
        <v>http://cdn.wpsstatic.com/images/full/8689-572a54b74d427.jpg</v>
      </c>
      <c r="B1303" s="5" t="s">
        <v>1303</v>
      </c>
    </row>
    <row r="1304" spans="1:2" x14ac:dyDescent="0.2">
      <c r="A1304" s="4" t="str">
        <f>HYPERLINK("http://cdn.wpsstatic.com/images/full/86a2-572a5551a1645.jpg", "http://cdn.wpsstatic.com/images/full/86a2-572a5551a1645.jpg")</f>
        <v>http://cdn.wpsstatic.com/images/full/86a2-572a5551a1645.jpg</v>
      </c>
      <c r="B1304" s="5" t="s">
        <v>1304</v>
      </c>
    </row>
    <row r="1305" spans="1:2" x14ac:dyDescent="0.2">
      <c r="A1305" s="4" t="str">
        <f>HYPERLINK("http://cdn.wpsstatic.com/images/full/86ac-572a525ca4c9c.jpg", "http://cdn.wpsstatic.com/images/full/86ac-572a525ca4c9c.jpg")</f>
        <v>http://cdn.wpsstatic.com/images/full/86ac-572a525ca4c9c.jpg</v>
      </c>
      <c r="B1305" s="5" t="s">
        <v>1305</v>
      </c>
    </row>
    <row r="1306" spans="1:2" x14ac:dyDescent="0.2">
      <c r="A1306" s="4" t="str">
        <f>HYPERLINK("http://cdn.wpsstatic.com/images/full/86b5-572a5326cd722.jpg", "http://cdn.wpsstatic.com/images/full/86b5-572a5326cd722.jpg")</f>
        <v>http://cdn.wpsstatic.com/images/full/86b5-572a5326cd722.jpg</v>
      </c>
      <c r="B1306" s="5" t="s">
        <v>1306</v>
      </c>
    </row>
    <row r="1307" spans="1:2" x14ac:dyDescent="0.2">
      <c r="A1307" s="4" t="str">
        <f>HYPERLINK("http://cdn.wpsstatic.com/images/full/86bb-572a544ede6ec.jpg", "http://cdn.wpsstatic.com/images/full/86bb-572a544ede6ec.jpg")</f>
        <v>http://cdn.wpsstatic.com/images/full/86bb-572a544ede6ec.jpg</v>
      </c>
      <c r="B1307" s="5" t="s">
        <v>1307</v>
      </c>
    </row>
    <row r="1308" spans="1:2" x14ac:dyDescent="0.2">
      <c r="A1308" s="4" t="str">
        <f>HYPERLINK("http://cdn.wpsstatic.com/images/full/86da-572a555f3f719.jpg", "http://cdn.wpsstatic.com/images/full/86da-572a555f3f719.jpg")</f>
        <v>http://cdn.wpsstatic.com/images/full/86da-572a555f3f719.jpg</v>
      </c>
      <c r="B1308" s="5" t="s">
        <v>1308</v>
      </c>
    </row>
    <row r="1309" spans="1:2" x14ac:dyDescent="0.2">
      <c r="A1309" s="4" t="str">
        <f>HYPERLINK("http://cdn.wpsstatic.com/images/full/8709-572a5542d8465.jpg", "http://cdn.wpsstatic.com/images/full/8709-572a5542d8465.jpg")</f>
        <v>http://cdn.wpsstatic.com/images/full/8709-572a5542d8465.jpg</v>
      </c>
      <c r="B1309" s="5" t="s">
        <v>1309</v>
      </c>
    </row>
    <row r="1310" spans="1:2" x14ac:dyDescent="0.2">
      <c r="A1310" s="4" t="str">
        <f>HYPERLINK("http://cdn.wpsstatic.com/images/full/8711-5885c167e8f73.jpg", "http://cdn.wpsstatic.com/images/full/8711-5885c167e8f73.jpg")</f>
        <v>http://cdn.wpsstatic.com/images/full/8711-5885c167e8f73.jpg</v>
      </c>
      <c r="B1310" s="5" t="s">
        <v>1310</v>
      </c>
    </row>
    <row r="1311" spans="1:2" x14ac:dyDescent="0.2">
      <c r="A1311" s="4" t="str">
        <f>HYPERLINK("http://cdn.wpsstatic.com/images/full/873d-572a54527a170.jpg", "http://cdn.wpsstatic.com/images/full/873d-572a54527a170.jpg")</f>
        <v>http://cdn.wpsstatic.com/images/full/873d-572a54527a170.jpg</v>
      </c>
      <c r="B1311" s="5" t="s">
        <v>1311</v>
      </c>
    </row>
    <row r="1312" spans="1:2" x14ac:dyDescent="0.2">
      <c r="A1312" s="4" t="str">
        <f>HYPERLINK("http://cdn.wpsstatic.com/images/full/8758-572a5624d0bd6.jpg", "http://cdn.wpsstatic.com/images/full/8758-572a5624d0bd6.jpg")</f>
        <v>http://cdn.wpsstatic.com/images/full/8758-572a5624d0bd6.jpg</v>
      </c>
      <c r="B1312" s="5" t="s">
        <v>1312</v>
      </c>
    </row>
    <row r="1313" spans="1:2" x14ac:dyDescent="0.2">
      <c r="A1313" s="4" t="str">
        <f>HYPERLINK("http://cdn.wpsstatic.com/images/full/876c-572a5548b7b2c.jpg", "http://cdn.wpsstatic.com/images/full/876c-572a5548b7b2c.jpg")</f>
        <v>http://cdn.wpsstatic.com/images/full/876c-572a5548b7b2c.jpg</v>
      </c>
      <c r="B1313" s="5" t="s">
        <v>1313</v>
      </c>
    </row>
    <row r="1314" spans="1:2" x14ac:dyDescent="0.2">
      <c r="A1314" s="4" t="str">
        <f>HYPERLINK("http://cdn.wpsstatic.com/images/full/87a6-63643b28dec38.png", "http://cdn.wpsstatic.com/images/full/87a6-63643b28dec38.png")</f>
        <v>http://cdn.wpsstatic.com/images/full/87a6-63643b28dec38.png</v>
      </c>
      <c r="B1314" s="5" t="s">
        <v>1314</v>
      </c>
    </row>
    <row r="1315" spans="1:2" x14ac:dyDescent="0.2">
      <c r="A1315" s="4" t="str">
        <f>HYPERLINK("http://cdn.wpsstatic.com/images/full/87b5-572a54ab0322d.jpg", "http://cdn.wpsstatic.com/images/full/87b5-572a54ab0322d.jpg")</f>
        <v>http://cdn.wpsstatic.com/images/full/87b5-572a54ab0322d.jpg</v>
      </c>
      <c r="B1315" s="5" t="s">
        <v>1315</v>
      </c>
    </row>
    <row r="1316" spans="1:2" x14ac:dyDescent="0.2">
      <c r="A1316" s="4" t="str">
        <f>HYPERLINK("http://cdn.wpsstatic.com/images/full/87eb-572a555e9d7e0.jpg", "http://cdn.wpsstatic.com/images/full/87eb-572a555e9d7e0.jpg")</f>
        <v>http://cdn.wpsstatic.com/images/full/87eb-572a555e9d7e0.jpg</v>
      </c>
      <c r="B1316" s="5" t="s">
        <v>1316</v>
      </c>
    </row>
    <row r="1317" spans="1:2" x14ac:dyDescent="0.2">
      <c r="A1317" s="4" t="str">
        <f>HYPERLINK("http://cdn.wpsstatic.com/images/full/87fb-60a6ac0a9ec74.png", "http://cdn.wpsstatic.com/images/full/87fb-60a6ac0a9ec74.png")</f>
        <v>http://cdn.wpsstatic.com/images/full/87fb-60a6ac0a9ec74.png</v>
      </c>
      <c r="B1317" s="5" t="s">
        <v>1317</v>
      </c>
    </row>
    <row r="1318" spans="1:2" x14ac:dyDescent="0.2">
      <c r="A1318" s="4" t="str">
        <f>HYPERLINK("http://cdn.wpsstatic.com/images/full/8809-572a551dc6506.jpg", "http://cdn.wpsstatic.com/images/full/8809-572a551dc6506.jpg")</f>
        <v>http://cdn.wpsstatic.com/images/full/8809-572a551dc6506.jpg</v>
      </c>
      <c r="B1318" s="5" t="s">
        <v>1318</v>
      </c>
    </row>
    <row r="1319" spans="1:2" x14ac:dyDescent="0.2">
      <c r="A1319" s="4" t="str">
        <f>HYPERLINK("http://cdn.wpsstatic.com/images/full/8826-5d028d7493fb0.jpg", "http://cdn.wpsstatic.com/images/full/8826-5d028d7493fb0.jpg")</f>
        <v>http://cdn.wpsstatic.com/images/full/8826-5d028d7493fb0.jpg</v>
      </c>
      <c r="B1319" s="5" t="s">
        <v>1319</v>
      </c>
    </row>
    <row r="1320" spans="1:2" x14ac:dyDescent="0.2">
      <c r="A1320" s="4" t="str">
        <f>HYPERLINK("http://cdn.wpsstatic.com/images/full/882e-572a526b01d2e.jpg", "http://cdn.wpsstatic.com/images/full/882e-572a526b01d2e.jpg")</f>
        <v>http://cdn.wpsstatic.com/images/full/882e-572a526b01d2e.jpg</v>
      </c>
      <c r="B1320" s="5" t="s">
        <v>1320</v>
      </c>
    </row>
    <row r="1321" spans="1:2" x14ac:dyDescent="0.2">
      <c r="A1321" s="4" t="str">
        <f>HYPERLINK("http://cdn.wpsstatic.com/images/full/883c-572a53dc97062.jpg", "http://cdn.wpsstatic.com/images/full/883c-572a53dc97062.jpg")</f>
        <v>http://cdn.wpsstatic.com/images/full/883c-572a53dc97062.jpg</v>
      </c>
      <c r="B1321" s="5" t="s">
        <v>1321</v>
      </c>
    </row>
    <row r="1322" spans="1:2" x14ac:dyDescent="0.2">
      <c r="A1322" s="4" t="str">
        <f>HYPERLINK("http://cdn.wpsstatic.com/images/full/8874-572a542c7ddab.jpg", "http://cdn.wpsstatic.com/images/full/8874-572a542c7ddab.jpg")</f>
        <v>http://cdn.wpsstatic.com/images/full/8874-572a542c7ddab.jpg</v>
      </c>
      <c r="B1322" s="5" t="s">
        <v>1322</v>
      </c>
    </row>
    <row r="1323" spans="1:2" x14ac:dyDescent="0.2">
      <c r="A1323" s="4" t="str">
        <f>HYPERLINK("http://cdn.wpsstatic.com/images/full/888e-572a544da86aa.jpg", "http://cdn.wpsstatic.com/images/full/888e-572a544da86aa.jpg")</f>
        <v>http://cdn.wpsstatic.com/images/full/888e-572a544da86aa.jpg</v>
      </c>
      <c r="B1323" s="5" t="s">
        <v>1323</v>
      </c>
    </row>
    <row r="1324" spans="1:2" x14ac:dyDescent="0.2">
      <c r="A1324" s="4" t="str">
        <f>HYPERLINK("http://cdn.wpsstatic.com/images/full/8894-572a544c58574.jpg", "http://cdn.wpsstatic.com/images/full/8894-572a544c58574.jpg")</f>
        <v>http://cdn.wpsstatic.com/images/full/8894-572a544c58574.jpg</v>
      </c>
      <c r="B1324" s="5" t="s">
        <v>1324</v>
      </c>
    </row>
    <row r="1325" spans="1:2" x14ac:dyDescent="0.2">
      <c r="A1325" s="4" t="str">
        <f>HYPERLINK("http://cdn.wpsstatic.com/images/full/8895-572a53e51c391.jpg", "http://cdn.wpsstatic.com/images/full/8895-572a53e51c391.jpg")</f>
        <v>http://cdn.wpsstatic.com/images/full/8895-572a53e51c391.jpg</v>
      </c>
      <c r="B1325" s="5" t="s">
        <v>1325</v>
      </c>
    </row>
    <row r="1326" spans="1:2" x14ac:dyDescent="0.2">
      <c r="A1326" s="4" t="str">
        <f>HYPERLINK("http://cdn.wpsstatic.com/images/full/88bc-572a5312c9f53.jpg", "http://cdn.wpsstatic.com/images/full/88bc-572a5312c9f53.jpg")</f>
        <v>http://cdn.wpsstatic.com/images/full/88bc-572a5312c9f53.jpg</v>
      </c>
      <c r="B1326" s="5" t="s">
        <v>1326</v>
      </c>
    </row>
    <row r="1327" spans="1:2" x14ac:dyDescent="0.2">
      <c r="A1327" s="4" t="str">
        <f>HYPERLINK("http://cdn.wpsstatic.com/images/full/88d1-572a55898d0a6.jpg", "http://cdn.wpsstatic.com/images/full/88d1-572a55898d0a6.jpg")</f>
        <v>http://cdn.wpsstatic.com/images/full/88d1-572a55898d0a6.jpg</v>
      </c>
      <c r="B1327" s="5" t="s">
        <v>1327</v>
      </c>
    </row>
    <row r="1328" spans="1:2" x14ac:dyDescent="0.2">
      <c r="A1328" s="4" t="str">
        <f>HYPERLINK("http://cdn.wpsstatic.com/images/full/88d5-572a54c2d08a7.jpg", "http://cdn.wpsstatic.com/images/full/88d5-572a54c2d08a7.jpg")</f>
        <v>http://cdn.wpsstatic.com/images/full/88d5-572a54c2d08a7.jpg</v>
      </c>
      <c r="B1328" s="5" t="s">
        <v>1328</v>
      </c>
    </row>
    <row r="1329" spans="1:2" x14ac:dyDescent="0.2">
      <c r="A1329" s="4" t="str">
        <f>HYPERLINK("http://cdn.wpsstatic.com/images/full/8913-63643b28ec046.png", "http://cdn.wpsstatic.com/images/full/8913-63643b28ec046.png")</f>
        <v>http://cdn.wpsstatic.com/images/full/8913-63643b28ec046.png</v>
      </c>
      <c r="B1329" s="5" t="s">
        <v>1329</v>
      </c>
    </row>
    <row r="1330" spans="1:2" x14ac:dyDescent="0.2">
      <c r="A1330" s="4" t="str">
        <f>HYPERLINK("http://cdn.wpsstatic.com/images/full/8915-572a54154d0c7.jpg", "http://cdn.wpsstatic.com/images/full/8915-572a54154d0c7.jpg")</f>
        <v>http://cdn.wpsstatic.com/images/full/8915-572a54154d0c7.jpg</v>
      </c>
      <c r="B1330" s="5" t="s">
        <v>1330</v>
      </c>
    </row>
    <row r="1331" spans="1:2" x14ac:dyDescent="0.2">
      <c r="A1331" s="4" t="str">
        <f>HYPERLINK("http://cdn.wpsstatic.com/images/full/8942-572a53509297b.jpg", "http://cdn.wpsstatic.com/images/full/8942-572a53509297b.jpg")</f>
        <v>http://cdn.wpsstatic.com/images/full/8942-572a53509297b.jpg</v>
      </c>
      <c r="B1331" s="5" t="s">
        <v>1331</v>
      </c>
    </row>
    <row r="1332" spans="1:2" x14ac:dyDescent="0.2">
      <c r="A1332" s="4" t="str">
        <f>HYPERLINK("http://cdn.wpsstatic.com/images/full/8976-5ecd3c3ada07e.jpg", "http://cdn.wpsstatic.com/images/full/8976-5ecd3c3ada07e.jpg")</f>
        <v>http://cdn.wpsstatic.com/images/full/8976-5ecd3c3ada07e.jpg</v>
      </c>
      <c r="B1332" s="5" t="s">
        <v>1332</v>
      </c>
    </row>
    <row r="1333" spans="1:2" x14ac:dyDescent="0.2">
      <c r="A1333" s="4" t="str">
        <f>HYPERLINK("http://cdn.wpsstatic.com/images/full/89d6-572a53096d148.jpg", "http://cdn.wpsstatic.com/images/full/89d6-572a53096d148.jpg")</f>
        <v>http://cdn.wpsstatic.com/images/full/89d6-572a53096d148.jpg</v>
      </c>
      <c r="B1333" s="5" t="s">
        <v>1333</v>
      </c>
    </row>
    <row r="1334" spans="1:2" x14ac:dyDescent="0.2">
      <c r="A1334" s="4" t="str">
        <f>HYPERLINK("http://cdn.wpsstatic.com/images/full/89e7-5d028c5606079.jpg", "http://cdn.wpsstatic.com/images/full/89e7-5d028c5606079.jpg")</f>
        <v>http://cdn.wpsstatic.com/images/full/89e7-5d028c5606079.jpg</v>
      </c>
      <c r="B1334" s="5" t="s">
        <v>1334</v>
      </c>
    </row>
    <row r="1335" spans="1:2" x14ac:dyDescent="0.2">
      <c r="A1335" s="4" t="str">
        <f>HYPERLINK("http://cdn.wpsstatic.com/images/full/8b02-572a5289cccd6.jpg", "http://cdn.wpsstatic.com/images/full/8b02-572a5289cccd6.jpg")</f>
        <v>http://cdn.wpsstatic.com/images/full/8b02-572a5289cccd6.jpg</v>
      </c>
      <c r="B1335" s="5" t="s">
        <v>1335</v>
      </c>
    </row>
    <row r="1336" spans="1:2" x14ac:dyDescent="0.2">
      <c r="A1336" s="4" t="str">
        <f>HYPERLINK("http://cdn.wpsstatic.com/images/full/8b03-572a555c227f0.jpg", "http://cdn.wpsstatic.com/images/full/8b03-572a555c227f0.jpg")</f>
        <v>http://cdn.wpsstatic.com/images/full/8b03-572a555c227f0.jpg</v>
      </c>
      <c r="B1336" s="5" t="s">
        <v>1336</v>
      </c>
    </row>
    <row r="1337" spans="1:2" x14ac:dyDescent="0.2">
      <c r="A1337" s="4" t="str">
        <f>HYPERLINK("http://cdn.wpsstatic.com/images/full/8b5e-5885c2521b437.jpg", "http://cdn.wpsstatic.com/images/full/8b5e-5885c2521b437.jpg")</f>
        <v>http://cdn.wpsstatic.com/images/full/8b5e-5885c2521b437.jpg</v>
      </c>
      <c r="B1337" s="5" t="s">
        <v>1337</v>
      </c>
    </row>
    <row r="1338" spans="1:2" x14ac:dyDescent="0.2">
      <c r="A1338" s="4" t="str">
        <f>HYPERLINK("http://cdn.wpsstatic.com/images/full/8b5f-60c11d56c3337.png", "http://cdn.wpsstatic.com/images/full/8b5f-60c11d56c3337.png")</f>
        <v>http://cdn.wpsstatic.com/images/full/8b5f-60c11d56c3337.png</v>
      </c>
      <c r="B1338" s="5" t="s">
        <v>1338</v>
      </c>
    </row>
    <row r="1339" spans="1:2" x14ac:dyDescent="0.2">
      <c r="A1339" s="4" t="str">
        <f>HYPERLINK("http://cdn.wpsstatic.com/images/full/8b7d-609d91c77e2ac.jpg", "http://cdn.wpsstatic.com/images/full/8b7d-609d91c77e2ac.jpg")</f>
        <v>http://cdn.wpsstatic.com/images/full/8b7d-609d91c77e2ac.jpg</v>
      </c>
      <c r="B1339" s="5" t="s">
        <v>1339</v>
      </c>
    </row>
    <row r="1340" spans="1:2" x14ac:dyDescent="0.2">
      <c r="A1340" s="4" t="str">
        <f>HYPERLINK("http://cdn.wpsstatic.com/images/full/8bad-572a547d4c626.jpg", "http://cdn.wpsstatic.com/images/full/8bad-572a547d4c626.jpg")</f>
        <v>http://cdn.wpsstatic.com/images/full/8bad-572a547d4c626.jpg</v>
      </c>
      <c r="B1340" s="5" t="s">
        <v>1340</v>
      </c>
    </row>
    <row r="1341" spans="1:2" x14ac:dyDescent="0.2">
      <c r="A1341" s="4" t="str">
        <f>HYPERLINK("http://cdn.wpsstatic.com/images/full/8bd3-572a5359744e6.jpg", "http://cdn.wpsstatic.com/images/full/8bd3-572a5359744e6.jpg")</f>
        <v>http://cdn.wpsstatic.com/images/full/8bd3-572a5359744e6.jpg</v>
      </c>
      <c r="B1341" s="5" t="s">
        <v>1341</v>
      </c>
    </row>
    <row r="1342" spans="1:2" x14ac:dyDescent="0.2">
      <c r="A1342" s="4" t="str">
        <f>HYPERLINK("http://cdn.wpsstatic.com/images/full/8bd8-572a553f6fcd7.jpg", "http://cdn.wpsstatic.com/images/full/8bd8-572a553f6fcd7.jpg")</f>
        <v>http://cdn.wpsstatic.com/images/full/8bd8-572a553f6fcd7.jpg</v>
      </c>
      <c r="B1342" s="5" t="s">
        <v>1342</v>
      </c>
    </row>
    <row r="1343" spans="1:2" x14ac:dyDescent="0.2">
      <c r="A1343" s="4" t="str">
        <f>HYPERLINK("http://cdn.wpsstatic.com/images/full/8bf9-572a543d4a819.jpg", "http://cdn.wpsstatic.com/images/full/8bf9-572a543d4a819.jpg")</f>
        <v>http://cdn.wpsstatic.com/images/full/8bf9-572a543d4a819.jpg</v>
      </c>
      <c r="B1343" s="5" t="s">
        <v>1343</v>
      </c>
    </row>
    <row r="1344" spans="1:2" x14ac:dyDescent="0.2">
      <c r="A1344" s="4" t="str">
        <f>HYPERLINK("http://cdn.wpsstatic.com/images/full/8c44-572a5395e0372.jpg", "http://cdn.wpsstatic.com/images/full/8c44-572a5395e0372.jpg")</f>
        <v>http://cdn.wpsstatic.com/images/full/8c44-572a5395e0372.jpg</v>
      </c>
      <c r="B1344" s="5" t="s">
        <v>1344</v>
      </c>
    </row>
    <row r="1345" spans="1:2" x14ac:dyDescent="0.2">
      <c r="A1345" s="4" t="str">
        <f>HYPERLINK("http://cdn.wpsstatic.com/images/full/8d05-572a551e55ce0.jpg", "http://cdn.wpsstatic.com/images/full/8d05-572a551e55ce0.jpg")</f>
        <v>http://cdn.wpsstatic.com/images/full/8d05-572a551e55ce0.jpg</v>
      </c>
      <c r="B1345" s="5" t="s">
        <v>1345</v>
      </c>
    </row>
    <row r="1346" spans="1:2" x14ac:dyDescent="0.2">
      <c r="A1346" s="4" t="str">
        <f>HYPERLINK("http://cdn.wpsstatic.com/images/full/8d21-5d029a816b194.jpg", "http://cdn.wpsstatic.com/images/full/8d21-5d029a816b194.jpg")</f>
        <v>http://cdn.wpsstatic.com/images/full/8d21-5d029a816b194.jpg</v>
      </c>
      <c r="B1346" s="5" t="s">
        <v>1346</v>
      </c>
    </row>
    <row r="1347" spans="1:2" x14ac:dyDescent="0.2">
      <c r="A1347" s="4" t="str">
        <f>HYPERLINK("http://cdn.wpsstatic.com/images/full/8d85-6040f8902f347.jpg", "http://cdn.wpsstatic.com/images/full/8d85-6040f8902f347.jpg")</f>
        <v>http://cdn.wpsstatic.com/images/full/8d85-6040f8902f347.jpg</v>
      </c>
      <c r="B1347" s="5" t="s">
        <v>1347</v>
      </c>
    </row>
    <row r="1348" spans="1:2" x14ac:dyDescent="0.2">
      <c r="A1348" s="4" t="str">
        <f>HYPERLINK("http://cdn.wpsstatic.com/images/full/8d8c-572a5320b8600.jpg", "http://cdn.wpsstatic.com/images/full/8d8c-572a5320b8600.jpg")</f>
        <v>http://cdn.wpsstatic.com/images/full/8d8c-572a5320b8600.jpg</v>
      </c>
      <c r="B1348" s="5" t="s">
        <v>1348</v>
      </c>
    </row>
    <row r="1349" spans="1:2" x14ac:dyDescent="0.2">
      <c r="A1349" s="4" t="str">
        <f>HYPERLINK("http://cdn.wpsstatic.com/images/full/8db6-572a5481ac698.jpg", "http://cdn.wpsstatic.com/images/full/8db6-572a5481ac698.jpg")</f>
        <v>http://cdn.wpsstatic.com/images/full/8db6-572a5481ac698.jpg</v>
      </c>
      <c r="B1349" s="5" t="s">
        <v>1349</v>
      </c>
    </row>
    <row r="1350" spans="1:2" x14ac:dyDescent="0.2">
      <c r="A1350" s="4" t="str">
        <f>HYPERLINK("http://cdn.wpsstatic.com/images/full/8db9-572a524e17082.jpg", "http://cdn.wpsstatic.com/images/full/8db9-572a524e17082.jpg")</f>
        <v>http://cdn.wpsstatic.com/images/full/8db9-572a524e17082.jpg</v>
      </c>
      <c r="B1350" s="5" t="s">
        <v>1350</v>
      </c>
    </row>
    <row r="1351" spans="1:2" x14ac:dyDescent="0.2">
      <c r="A1351" s="4" t="str">
        <f>HYPERLINK("http://cdn.wpsstatic.com/images/full/8dc5-572a542211dcd.jpg", "http://cdn.wpsstatic.com/images/full/8dc5-572a542211dcd.jpg")</f>
        <v>http://cdn.wpsstatic.com/images/full/8dc5-572a542211dcd.jpg</v>
      </c>
      <c r="B1351" s="5" t="s">
        <v>1351</v>
      </c>
    </row>
    <row r="1352" spans="1:2" x14ac:dyDescent="0.2">
      <c r="A1352" s="4" t="str">
        <f>HYPERLINK("http://cdn.wpsstatic.com/images/full/8dce-572a545edec60.jpg", "http://cdn.wpsstatic.com/images/full/8dce-572a545edec60.jpg")</f>
        <v>http://cdn.wpsstatic.com/images/full/8dce-572a545edec60.jpg</v>
      </c>
      <c r="B1352" s="5" t="s">
        <v>1352</v>
      </c>
    </row>
    <row r="1353" spans="1:2" x14ac:dyDescent="0.2">
      <c r="A1353" s="4" t="str">
        <f>HYPERLINK("http://cdn.wpsstatic.com/images/full/8e3e-5885c1c7cb809.jpg", "http://cdn.wpsstatic.com/images/full/8e3e-5885c1c7cb809.jpg")</f>
        <v>http://cdn.wpsstatic.com/images/full/8e3e-5885c1c7cb809.jpg</v>
      </c>
      <c r="B1353" s="5" t="s">
        <v>1353</v>
      </c>
    </row>
    <row r="1354" spans="1:2" x14ac:dyDescent="0.2">
      <c r="A1354" s="4" t="str">
        <f>HYPERLINK("http://cdn.wpsstatic.com/images/full/8e40-572a54de15f57.jpg", "http://cdn.wpsstatic.com/images/full/8e40-572a54de15f57.jpg")</f>
        <v>http://cdn.wpsstatic.com/images/full/8e40-572a54de15f57.jpg</v>
      </c>
      <c r="B1354" s="5" t="s">
        <v>1354</v>
      </c>
    </row>
    <row r="1355" spans="1:2" x14ac:dyDescent="0.2">
      <c r="A1355" s="4" t="str">
        <f>HYPERLINK("http://cdn.wpsstatic.com/images/full/8e5e-572a546db8906.jpg", "http://cdn.wpsstatic.com/images/full/8e5e-572a546db8906.jpg")</f>
        <v>http://cdn.wpsstatic.com/images/full/8e5e-572a546db8906.jpg</v>
      </c>
      <c r="B1355" s="5" t="s">
        <v>1355</v>
      </c>
    </row>
    <row r="1356" spans="1:2" x14ac:dyDescent="0.2">
      <c r="A1356" s="4" t="str">
        <f>HYPERLINK("http://cdn.wpsstatic.com/images/full/8e63-572a554a88417.jpg", "http://cdn.wpsstatic.com/images/full/8e63-572a554a88417.jpg")</f>
        <v>http://cdn.wpsstatic.com/images/full/8e63-572a554a88417.jpg</v>
      </c>
      <c r="B1356" s="5" t="s">
        <v>1356</v>
      </c>
    </row>
    <row r="1357" spans="1:2" x14ac:dyDescent="0.2">
      <c r="A1357" s="4" t="str">
        <f>HYPERLINK("http://cdn.wpsstatic.com/images/full/8e72-572a54dd553a3.jpg", "http://cdn.wpsstatic.com/images/full/8e72-572a54dd553a3.jpg")</f>
        <v>http://cdn.wpsstatic.com/images/full/8e72-572a54dd553a3.jpg</v>
      </c>
      <c r="B1357" s="5" t="s">
        <v>1357</v>
      </c>
    </row>
    <row r="1358" spans="1:2" x14ac:dyDescent="0.2">
      <c r="A1358" s="4" t="str">
        <f>HYPERLINK("http://cdn.wpsstatic.com/images/full/8e82-572a531a56c94.jpg", "http://cdn.wpsstatic.com/images/full/8e82-572a531a56c94.jpg")</f>
        <v>http://cdn.wpsstatic.com/images/full/8e82-572a531a56c94.jpg</v>
      </c>
      <c r="B1358" s="5" t="s">
        <v>1358</v>
      </c>
    </row>
    <row r="1359" spans="1:2" x14ac:dyDescent="0.2">
      <c r="A1359" s="4" t="str">
        <f>HYPERLINK("http://cdn.wpsstatic.com/images/full/8e8c-5d7903059c214.jpg", "http://cdn.wpsstatic.com/images/full/8e8c-5d7903059c214.jpg")</f>
        <v>http://cdn.wpsstatic.com/images/full/8e8c-5d7903059c214.jpg</v>
      </c>
      <c r="B1359" s="5" t="s">
        <v>1359</v>
      </c>
    </row>
    <row r="1360" spans="1:2" x14ac:dyDescent="0.2">
      <c r="A1360" s="4" t="str">
        <f>HYPERLINK("http://cdn.wpsstatic.com/images/full/8e8e-5885c1f10bf1c.jpg", "http://cdn.wpsstatic.com/images/full/8e8e-5885c1f10bf1c.jpg")</f>
        <v>http://cdn.wpsstatic.com/images/full/8e8e-5885c1f10bf1c.jpg</v>
      </c>
      <c r="B1360" s="5" t="s">
        <v>1360</v>
      </c>
    </row>
    <row r="1361" spans="1:2" x14ac:dyDescent="0.2">
      <c r="A1361" s="4" t="str">
        <f>HYPERLINK("http://cdn.wpsstatic.com/images/full/8eb0-572a556c7977a.jpg", "http://cdn.wpsstatic.com/images/full/8eb0-572a556c7977a.jpg")</f>
        <v>http://cdn.wpsstatic.com/images/full/8eb0-572a556c7977a.jpg</v>
      </c>
      <c r="B1361" s="5" t="s">
        <v>1361</v>
      </c>
    </row>
    <row r="1362" spans="1:2" x14ac:dyDescent="0.2">
      <c r="A1362" s="4" t="str">
        <f>HYPERLINK("http://cdn.wpsstatic.com/images/full/8eb3-5d028d4b1a30d.jpg", "http://cdn.wpsstatic.com/images/full/8eb3-5d028d4b1a30d.jpg")</f>
        <v>http://cdn.wpsstatic.com/images/full/8eb3-5d028d4b1a30d.jpg</v>
      </c>
      <c r="B1362" s="5" t="s">
        <v>1362</v>
      </c>
    </row>
    <row r="1363" spans="1:2" x14ac:dyDescent="0.2">
      <c r="A1363" s="4" t="str">
        <f>HYPERLINK("http://cdn.wpsstatic.com/images/full/8ec2-572a543599e20.jpg", "http://cdn.wpsstatic.com/images/full/8ec2-572a543599e20.jpg")</f>
        <v>http://cdn.wpsstatic.com/images/full/8ec2-572a543599e20.jpg</v>
      </c>
      <c r="B1363" s="5" t="s">
        <v>1363</v>
      </c>
    </row>
    <row r="1364" spans="1:2" x14ac:dyDescent="0.2">
      <c r="A1364" s="4" t="str">
        <f>HYPERLINK("http://cdn.wpsstatic.com/images/full/8ed1-572a552e7c848.jpg", "http://cdn.wpsstatic.com/images/full/8ed1-572a552e7c848.jpg")</f>
        <v>http://cdn.wpsstatic.com/images/full/8ed1-572a552e7c848.jpg</v>
      </c>
      <c r="B1364" s="5" t="s">
        <v>1364</v>
      </c>
    </row>
    <row r="1365" spans="1:2" x14ac:dyDescent="0.2">
      <c r="A1365" s="4" t="str">
        <f>HYPERLINK("http://cdn.wpsstatic.com/images/full/8ede-572a5574e8c64.jpg", "http://cdn.wpsstatic.com/images/full/8ede-572a5574e8c64.jpg")</f>
        <v>http://cdn.wpsstatic.com/images/full/8ede-572a5574e8c64.jpg</v>
      </c>
      <c r="B1365" s="5" t="s">
        <v>1365</v>
      </c>
    </row>
    <row r="1366" spans="1:2" x14ac:dyDescent="0.2">
      <c r="A1366" s="4" t="str">
        <f>HYPERLINK("http://cdn.wpsstatic.com/images/full/8ef6-5d0291be79464.jpg", "http://cdn.wpsstatic.com/images/full/8ef6-5d0291be79464.jpg")</f>
        <v>http://cdn.wpsstatic.com/images/full/8ef6-5d0291be79464.jpg</v>
      </c>
      <c r="B1366" s="5" t="s">
        <v>1366</v>
      </c>
    </row>
    <row r="1367" spans="1:2" x14ac:dyDescent="0.2">
      <c r="A1367" s="4" t="str">
        <f>HYPERLINK("http://cdn.wpsstatic.com/images/full/8f42-572a54757db6f.jpg", "http://cdn.wpsstatic.com/images/full/8f42-572a54757db6f.jpg")</f>
        <v>http://cdn.wpsstatic.com/images/full/8f42-572a54757db6f.jpg</v>
      </c>
      <c r="B1367" s="5" t="s">
        <v>1367</v>
      </c>
    </row>
    <row r="1368" spans="1:2" x14ac:dyDescent="0.2">
      <c r="A1368" s="4" t="str">
        <f>HYPERLINK("http://cdn.wpsstatic.com/images/full/8f5c-572a54fe4b2c8.jpg", "http://cdn.wpsstatic.com/images/full/8f5c-572a54fe4b2c8.jpg")</f>
        <v>http://cdn.wpsstatic.com/images/full/8f5c-572a54fe4b2c8.jpg</v>
      </c>
      <c r="B1368" s="5" t="s">
        <v>1368</v>
      </c>
    </row>
    <row r="1369" spans="1:2" x14ac:dyDescent="0.2">
      <c r="A1369" s="4" t="str">
        <f>HYPERLINK("http://cdn.wpsstatic.com/images/full/8f73-5e31b29e3f912.jpg", "http://cdn.wpsstatic.com/images/full/8f73-5e31b29e3f912.jpg")</f>
        <v>http://cdn.wpsstatic.com/images/full/8f73-5e31b29e3f912.jpg</v>
      </c>
      <c r="B1369" s="5" t="s">
        <v>1369</v>
      </c>
    </row>
    <row r="1370" spans="1:2" x14ac:dyDescent="0.2">
      <c r="A1370" s="4" t="str">
        <f>HYPERLINK("http://cdn.wpsstatic.com/images/full/8f8b-5d029736d4842.jpg", "http://cdn.wpsstatic.com/images/full/8f8b-5d029736d4842.jpg")</f>
        <v>http://cdn.wpsstatic.com/images/full/8f8b-5d029736d4842.jpg</v>
      </c>
      <c r="B1370" s="5" t="s">
        <v>1370</v>
      </c>
    </row>
    <row r="1371" spans="1:2" x14ac:dyDescent="0.2">
      <c r="A1371" s="4" t="str">
        <f>HYPERLINK("http://cdn.wpsstatic.com/images/full/8fa5-572a559e39c1c.jpg", "http://cdn.wpsstatic.com/images/full/8fa5-572a559e39c1c.jpg")</f>
        <v>http://cdn.wpsstatic.com/images/full/8fa5-572a559e39c1c.jpg</v>
      </c>
      <c r="B1371" s="5" t="s">
        <v>1371</v>
      </c>
    </row>
    <row r="1372" spans="1:2" x14ac:dyDescent="0.2">
      <c r="A1372" s="4" t="str">
        <f>HYPERLINK("http://cdn.wpsstatic.com/images/full/9000-5f57b1fd7a007.jpg", "http://cdn.wpsstatic.com/images/full/9000-5f57b1fd7a007.jpg")</f>
        <v>http://cdn.wpsstatic.com/images/full/9000-5f57b1fd7a007.jpg</v>
      </c>
      <c r="B1372" s="5" t="s">
        <v>1372</v>
      </c>
    </row>
    <row r="1373" spans="1:2" x14ac:dyDescent="0.2">
      <c r="A1373" s="4" t="str">
        <f>HYPERLINK("http://cdn.wpsstatic.com/images/full/9017-572a74fb145c9.jpg", "http://cdn.wpsstatic.com/images/full/9017-572a74fb145c9.jpg")</f>
        <v>http://cdn.wpsstatic.com/images/full/9017-572a74fb145c9.jpg</v>
      </c>
      <c r="B1373" s="5" t="s">
        <v>1373</v>
      </c>
    </row>
    <row r="1374" spans="1:2" x14ac:dyDescent="0.2">
      <c r="A1374" s="4" t="str">
        <f>HYPERLINK("http://cdn.wpsstatic.com/images/full/9018-6040fde153fa6.jpg", "http://cdn.wpsstatic.com/images/full/9018-6040fde153fa6.jpg")</f>
        <v>http://cdn.wpsstatic.com/images/full/9018-6040fde153fa6.jpg</v>
      </c>
      <c r="B1374" s="5" t="s">
        <v>1374</v>
      </c>
    </row>
    <row r="1375" spans="1:2" x14ac:dyDescent="0.2">
      <c r="A1375" s="4" t="str">
        <f>HYPERLINK("http://cdn.wpsstatic.com/images/full/9021-660426b980d5b.png", "http://cdn.wpsstatic.com/images/full/9021-660426b980d5b.png")</f>
        <v>http://cdn.wpsstatic.com/images/full/9021-660426b980d5b.png</v>
      </c>
      <c r="B1375" s="5" t="s">
        <v>1375</v>
      </c>
    </row>
    <row r="1376" spans="1:2" x14ac:dyDescent="0.2">
      <c r="A1376" s="4" t="str">
        <f>HYPERLINK("http://cdn.wpsstatic.com/images/full/9023-572a54dfe9c9f.jpg", "http://cdn.wpsstatic.com/images/full/9023-572a54dfe9c9f.jpg")</f>
        <v>http://cdn.wpsstatic.com/images/full/9023-572a54dfe9c9f.jpg</v>
      </c>
      <c r="B1376" s="5" t="s">
        <v>1376</v>
      </c>
    </row>
    <row r="1377" spans="1:2" x14ac:dyDescent="0.2">
      <c r="A1377" s="4" t="str">
        <f>HYPERLINK("http://cdn.wpsstatic.com/images/full/903d-572a52f8711b4.jpg", "http://cdn.wpsstatic.com/images/full/903d-572a52f8711b4.jpg")</f>
        <v>http://cdn.wpsstatic.com/images/full/903d-572a52f8711b4.jpg</v>
      </c>
      <c r="B1377" s="5" t="s">
        <v>1377</v>
      </c>
    </row>
    <row r="1378" spans="1:2" x14ac:dyDescent="0.2">
      <c r="A1378" s="4" t="str">
        <f>HYPERLINK("http://cdn.wpsstatic.com/images/full/903d-572a54a7245b0.jpg", "http://cdn.wpsstatic.com/images/full/903d-572a54a7245b0.jpg")</f>
        <v>http://cdn.wpsstatic.com/images/full/903d-572a54a7245b0.jpg</v>
      </c>
      <c r="B1378" s="5" t="s">
        <v>1378</v>
      </c>
    </row>
    <row r="1379" spans="1:2" x14ac:dyDescent="0.2">
      <c r="A1379" s="4" t="str">
        <f>HYPERLINK("http://cdn.wpsstatic.com/images/full/9047-572a55010ee27.jpg", "http://cdn.wpsstatic.com/images/full/9047-572a55010ee27.jpg")</f>
        <v>http://cdn.wpsstatic.com/images/full/9047-572a55010ee27.jpg</v>
      </c>
      <c r="B1379" s="5" t="s">
        <v>1379</v>
      </c>
    </row>
    <row r="1380" spans="1:2" x14ac:dyDescent="0.2">
      <c r="A1380" s="4" t="str">
        <f>HYPERLINK("http://cdn.wpsstatic.com/images/full/90a2-5d028edb96f4a.jpg", "http://cdn.wpsstatic.com/images/full/90a2-5d028edb96f4a.jpg")</f>
        <v>http://cdn.wpsstatic.com/images/full/90a2-5d028edb96f4a.jpg</v>
      </c>
      <c r="B1380" s="5" t="s">
        <v>1380</v>
      </c>
    </row>
    <row r="1381" spans="1:2" x14ac:dyDescent="0.2">
      <c r="A1381" s="4" t="str">
        <f>HYPERLINK("http://cdn.wpsstatic.com/images/full/90b7-572a551251994.jpg", "http://cdn.wpsstatic.com/images/full/90b7-572a551251994.jpg")</f>
        <v>http://cdn.wpsstatic.com/images/full/90b7-572a551251994.jpg</v>
      </c>
      <c r="B1381" s="5" t="s">
        <v>1381</v>
      </c>
    </row>
    <row r="1382" spans="1:2" x14ac:dyDescent="0.2">
      <c r="A1382" s="4" t="str">
        <f>HYPERLINK("http://cdn.wpsstatic.com/images/full/90e6-572a5447f03fe.jpg", "http://cdn.wpsstatic.com/images/full/90e6-572a5447f03fe.jpg")</f>
        <v>http://cdn.wpsstatic.com/images/full/90e6-572a5447f03fe.jpg</v>
      </c>
      <c r="B1382" s="5" t="s">
        <v>1382</v>
      </c>
    </row>
    <row r="1383" spans="1:2" x14ac:dyDescent="0.2">
      <c r="A1383" s="4" t="str">
        <f>HYPERLINK("http://cdn.wpsstatic.com/images/full/90e9-572a54fd31e07.jpg", "http://cdn.wpsstatic.com/images/full/90e9-572a54fd31e07.jpg")</f>
        <v>http://cdn.wpsstatic.com/images/full/90e9-572a54fd31e07.jpg</v>
      </c>
      <c r="B1383" s="5" t="s">
        <v>1383</v>
      </c>
    </row>
    <row r="1384" spans="1:2" x14ac:dyDescent="0.2">
      <c r="A1384" s="4" t="str">
        <f>HYPERLINK("http://cdn.wpsstatic.com/images/full/9138-572a563a2fa5a.jpg", "http://cdn.wpsstatic.com/images/full/9138-572a563a2fa5a.jpg")</f>
        <v>http://cdn.wpsstatic.com/images/full/9138-572a563a2fa5a.jpg</v>
      </c>
      <c r="B1384" s="5" t="s">
        <v>1384</v>
      </c>
    </row>
    <row r="1385" spans="1:2" x14ac:dyDescent="0.2">
      <c r="A1385" s="4" t="str">
        <f>HYPERLINK("http://cdn.wpsstatic.com/images/full/917c-5d790628245ae.jpg", "http://cdn.wpsstatic.com/images/full/917c-5d790628245ae.jpg")</f>
        <v>http://cdn.wpsstatic.com/images/full/917c-5d790628245ae.jpg</v>
      </c>
      <c r="B1385" s="5" t="s">
        <v>1385</v>
      </c>
    </row>
    <row r="1386" spans="1:2" x14ac:dyDescent="0.2">
      <c r="A1386" s="4" t="str">
        <f>HYPERLINK("http://cdn.wpsstatic.com/images/full/918c-572a527952ba0.jpg", "http://cdn.wpsstatic.com/images/full/918c-572a527952ba0.jpg")</f>
        <v>http://cdn.wpsstatic.com/images/full/918c-572a527952ba0.jpg</v>
      </c>
      <c r="B1386" s="5" t="s">
        <v>1386</v>
      </c>
    </row>
    <row r="1387" spans="1:2" x14ac:dyDescent="0.2">
      <c r="A1387" s="4" t="str">
        <f>HYPERLINK("http://cdn.wpsstatic.com/images/full/9191-572a524d06faa.jpg", "http://cdn.wpsstatic.com/images/full/9191-572a524d06faa.jpg")</f>
        <v>http://cdn.wpsstatic.com/images/full/9191-572a524d06faa.jpg</v>
      </c>
      <c r="B1387" s="5" t="s">
        <v>1387</v>
      </c>
    </row>
    <row r="1388" spans="1:2" x14ac:dyDescent="0.2">
      <c r="A1388" s="4" t="str">
        <f>HYPERLINK("http://cdn.wpsstatic.com/images/full/91a9-572a532b40d13.jpg", "http://cdn.wpsstatic.com/images/full/91a9-572a532b40d13.jpg")</f>
        <v>http://cdn.wpsstatic.com/images/full/91a9-572a532b40d13.jpg</v>
      </c>
      <c r="B1388" s="5" t="s">
        <v>1388</v>
      </c>
    </row>
    <row r="1389" spans="1:2" x14ac:dyDescent="0.2">
      <c r="A1389" s="4" t="str">
        <f>HYPERLINK("http://cdn.wpsstatic.com/images/full/91b3-660426f526877.png", "http://cdn.wpsstatic.com/images/full/91b3-660426f526877.png")</f>
        <v>http://cdn.wpsstatic.com/images/full/91b3-660426f526877.png</v>
      </c>
      <c r="B1389" s="5" t="s">
        <v>1389</v>
      </c>
    </row>
    <row r="1390" spans="1:2" x14ac:dyDescent="0.2">
      <c r="A1390" s="4" t="str">
        <f>HYPERLINK("http://cdn.wpsstatic.com/images/full/91ce-5f578f114b1a4.jpg", "http://cdn.wpsstatic.com/images/full/91ce-5f578f114b1a4.jpg")</f>
        <v>http://cdn.wpsstatic.com/images/full/91ce-5f578f114b1a4.jpg</v>
      </c>
      <c r="B1390" s="5" t="s">
        <v>1390</v>
      </c>
    </row>
    <row r="1391" spans="1:2" x14ac:dyDescent="0.2">
      <c r="A1391" s="4" t="str">
        <f>HYPERLINK("http://cdn.wpsstatic.com/images/full/91d1-572a555247adf.jpg", "http://cdn.wpsstatic.com/images/full/91d1-572a555247adf.jpg")</f>
        <v>http://cdn.wpsstatic.com/images/full/91d1-572a555247adf.jpg</v>
      </c>
      <c r="B1391" s="5" t="s">
        <v>1391</v>
      </c>
    </row>
    <row r="1392" spans="1:2" x14ac:dyDescent="0.2">
      <c r="A1392" s="4" t="str">
        <f>HYPERLINK("http://cdn.wpsstatic.com/images/full/91f3-604104edf309f.jpg", "http://cdn.wpsstatic.com/images/full/91f3-604104edf309f.jpg")</f>
        <v>http://cdn.wpsstatic.com/images/full/91f3-604104edf309f.jpg</v>
      </c>
      <c r="B1392" s="5" t="s">
        <v>1392</v>
      </c>
    </row>
    <row r="1393" spans="1:2" x14ac:dyDescent="0.2">
      <c r="A1393" s="4" t="str">
        <f>HYPERLINK("http://cdn.wpsstatic.com/images/full/920d-572a5568da55b.jpg", "http://cdn.wpsstatic.com/images/full/920d-572a5568da55b.jpg")</f>
        <v>http://cdn.wpsstatic.com/images/full/920d-572a5568da55b.jpg</v>
      </c>
      <c r="B1393" s="5" t="s">
        <v>1393</v>
      </c>
    </row>
    <row r="1394" spans="1:2" x14ac:dyDescent="0.2">
      <c r="A1394" s="4" t="str">
        <f>HYPERLINK("http://cdn.wpsstatic.com/images/full/9213-572a537ea5613.jpg", "http://cdn.wpsstatic.com/images/full/9213-572a537ea5613.jpg")</f>
        <v>http://cdn.wpsstatic.com/images/full/9213-572a537ea5613.jpg</v>
      </c>
      <c r="B1394" s="5" t="s">
        <v>1394</v>
      </c>
    </row>
    <row r="1395" spans="1:2" x14ac:dyDescent="0.2">
      <c r="A1395" s="4" t="str">
        <f>HYPERLINK("http://cdn.wpsstatic.com/images/full/9218-572a558f7505b.jpg", "http://cdn.wpsstatic.com/images/full/9218-572a558f7505b.jpg")</f>
        <v>http://cdn.wpsstatic.com/images/full/9218-572a558f7505b.jpg</v>
      </c>
      <c r="B1395" s="5" t="s">
        <v>1395</v>
      </c>
    </row>
    <row r="1396" spans="1:2" x14ac:dyDescent="0.2">
      <c r="A1396" s="4" t="str">
        <f>HYPERLINK("http://cdn.wpsstatic.com/images/full/924c-5fb4513f0578a.jpg", "http://cdn.wpsstatic.com/images/full/924c-5fb4513f0578a.jpg")</f>
        <v>http://cdn.wpsstatic.com/images/full/924c-5fb4513f0578a.jpg</v>
      </c>
      <c r="B1396" s="5" t="s">
        <v>1396</v>
      </c>
    </row>
    <row r="1397" spans="1:2" x14ac:dyDescent="0.2">
      <c r="A1397" s="4" t="str">
        <f>HYPERLINK("http://cdn.wpsstatic.com/images/full/9254-572a52fedfe50.jpg", "http://cdn.wpsstatic.com/images/full/9254-572a52fedfe50.jpg")</f>
        <v>http://cdn.wpsstatic.com/images/full/9254-572a52fedfe50.jpg</v>
      </c>
      <c r="B1397" s="5" t="s">
        <v>1397</v>
      </c>
    </row>
    <row r="1398" spans="1:2" x14ac:dyDescent="0.2">
      <c r="A1398" s="4" t="str">
        <f>HYPERLINK("http://cdn.wpsstatic.com/images/full/92c2-572a53a1473bf.jpg", "http://cdn.wpsstatic.com/images/full/92c2-572a53a1473bf.jpg")</f>
        <v>http://cdn.wpsstatic.com/images/full/92c2-572a53a1473bf.jpg</v>
      </c>
      <c r="B1398" s="5" t="s">
        <v>1398</v>
      </c>
    </row>
    <row r="1399" spans="1:2" x14ac:dyDescent="0.2">
      <c r="A1399" s="4" t="str">
        <f>HYPERLINK("http://cdn.wpsstatic.com/images/full/92d4-5d0290b920012.jpg", "http://cdn.wpsstatic.com/images/full/92d4-5d0290b920012.jpg")</f>
        <v>http://cdn.wpsstatic.com/images/full/92d4-5d0290b920012.jpg</v>
      </c>
      <c r="B1399" s="5" t="s">
        <v>1399</v>
      </c>
    </row>
    <row r="1400" spans="1:2" x14ac:dyDescent="0.2">
      <c r="A1400" s="4" t="str">
        <f>HYPERLINK("http://cdn.wpsstatic.com/images/full/9306-572a54fb8a395.jpg", "http://cdn.wpsstatic.com/images/full/9306-572a54fb8a395.jpg")</f>
        <v>http://cdn.wpsstatic.com/images/full/9306-572a54fb8a395.jpg</v>
      </c>
      <c r="B1400" s="5" t="s">
        <v>1400</v>
      </c>
    </row>
    <row r="1401" spans="1:2" x14ac:dyDescent="0.2">
      <c r="A1401" s="4" t="str">
        <f>HYPERLINK("http://cdn.wpsstatic.com/images/full/930d-572a5287b3c3d.jpg", "http://cdn.wpsstatic.com/images/full/930d-572a5287b3c3d.jpg")</f>
        <v>http://cdn.wpsstatic.com/images/full/930d-572a5287b3c3d.jpg</v>
      </c>
      <c r="B1401" s="5" t="s">
        <v>1401</v>
      </c>
    </row>
    <row r="1402" spans="1:2" x14ac:dyDescent="0.2">
      <c r="A1402" s="4" t="str">
        <f>HYPERLINK("http://cdn.wpsstatic.com/images/full/9335-6171d741aa1c1.png", "http://cdn.wpsstatic.com/images/full/9335-6171d741aa1c1.png")</f>
        <v>http://cdn.wpsstatic.com/images/full/9335-6171d741aa1c1.png</v>
      </c>
      <c r="B1402" s="5" t="s">
        <v>1402</v>
      </c>
    </row>
    <row r="1403" spans="1:2" x14ac:dyDescent="0.2">
      <c r="A1403" s="4" t="str">
        <f>HYPERLINK("http://cdn.wpsstatic.com/images/full/9354-572a54d640e13.jpg", "http://cdn.wpsstatic.com/images/full/9354-572a54d640e13.jpg")</f>
        <v>http://cdn.wpsstatic.com/images/full/9354-572a54d640e13.jpg</v>
      </c>
      <c r="B1403" s="5" t="s">
        <v>1403</v>
      </c>
    </row>
    <row r="1404" spans="1:2" x14ac:dyDescent="0.2">
      <c r="A1404" s="4" t="str">
        <f>HYPERLINK("http://cdn.wpsstatic.com/images/full/936e-572a551350808.jpg", "http://cdn.wpsstatic.com/images/full/936e-572a551350808.jpg")</f>
        <v>http://cdn.wpsstatic.com/images/full/936e-572a551350808.jpg</v>
      </c>
      <c r="B1404" s="5" t="s">
        <v>1404</v>
      </c>
    </row>
    <row r="1405" spans="1:2" x14ac:dyDescent="0.2">
      <c r="A1405" s="4" t="str">
        <f>HYPERLINK("http://cdn.wpsstatic.com/images/full/9372-5fb845f5bd5aa.jpg", "http://cdn.wpsstatic.com/images/full/9372-5fb845f5bd5aa.jpg")</f>
        <v>http://cdn.wpsstatic.com/images/full/9372-5fb845f5bd5aa.jpg</v>
      </c>
      <c r="B1405" s="5" t="s">
        <v>1405</v>
      </c>
    </row>
    <row r="1406" spans="1:2" x14ac:dyDescent="0.2">
      <c r="A1406" s="4" t="str">
        <f>HYPERLINK("http://cdn.wpsstatic.com/images/full/93a0-572a547616c69.jpg", "http://cdn.wpsstatic.com/images/full/93a0-572a547616c69.jpg")</f>
        <v>http://cdn.wpsstatic.com/images/full/93a0-572a547616c69.jpg</v>
      </c>
      <c r="B1406" s="5" t="s">
        <v>1406</v>
      </c>
    </row>
    <row r="1407" spans="1:2" x14ac:dyDescent="0.2">
      <c r="A1407" s="4" t="str">
        <f>HYPERLINK("http://cdn.wpsstatic.com/images/full/940d-572a74fd3cf98.jpg", "http://cdn.wpsstatic.com/images/full/940d-572a74fd3cf98.jpg")</f>
        <v>http://cdn.wpsstatic.com/images/full/940d-572a74fd3cf98.jpg</v>
      </c>
      <c r="B1407" s="5" t="s">
        <v>1407</v>
      </c>
    </row>
    <row r="1408" spans="1:2" x14ac:dyDescent="0.2">
      <c r="A1408" s="4" t="str">
        <f>HYPERLINK("http://cdn.wpsstatic.com/images/full/9414-572a53375b0b6.jpg", "http://cdn.wpsstatic.com/images/full/9414-572a53375b0b6.jpg")</f>
        <v>http://cdn.wpsstatic.com/images/full/9414-572a53375b0b6.jpg</v>
      </c>
      <c r="B1408" s="5" t="s">
        <v>1408</v>
      </c>
    </row>
    <row r="1409" spans="1:2" x14ac:dyDescent="0.2">
      <c r="A1409" s="4" t="str">
        <f>HYPERLINK("http://cdn.wpsstatic.com/images/full/9419-572a531240daa.jpg", "http://cdn.wpsstatic.com/images/full/9419-572a531240daa.jpg")</f>
        <v>http://cdn.wpsstatic.com/images/full/9419-572a531240daa.jpg</v>
      </c>
      <c r="B1409" s="5" t="s">
        <v>1409</v>
      </c>
    </row>
    <row r="1410" spans="1:2" x14ac:dyDescent="0.2">
      <c r="A1410" s="4" t="str">
        <f>HYPERLINK("http://cdn.wpsstatic.com/images/full/942b-572a532809584.jpg", "http://cdn.wpsstatic.com/images/full/942b-572a532809584.jpg")</f>
        <v>http://cdn.wpsstatic.com/images/full/942b-572a532809584.jpg</v>
      </c>
      <c r="B1410" s="5" t="s">
        <v>1410</v>
      </c>
    </row>
    <row r="1411" spans="1:2" x14ac:dyDescent="0.2">
      <c r="A1411" s="4" t="str">
        <f>HYPERLINK("http://cdn.wpsstatic.com/images/full/9460-5885ddf9edd00.jpg", "http://cdn.wpsstatic.com/images/full/9460-5885ddf9edd00.jpg")</f>
        <v>http://cdn.wpsstatic.com/images/full/9460-5885ddf9edd00.jpg</v>
      </c>
      <c r="B1411" s="5" t="s">
        <v>1411</v>
      </c>
    </row>
    <row r="1412" spans="1:2" x14ac:dyDescent="0.2">
      <c r="A1412" s="4" t="str">
        <f>HYPERLINK("http://cdn.wpsstatic.com/images/full/9482-572a5466dea8f.jpg", "http://cdn.wpsstatic.com/images/full/9482-572a5466dea8f.jpg")</f>
        <v>http://cdn.wpsstatic.com/images/full/9482-572a5466dea8f.jpg</v>
      </c>
      <c r="B1412" s="5" t="s">
        <v>1412</v>
      </c>
    </row>
    <row r="1413" spans="1:2" x14ac:dyDescent="0.2">
      <c r="A1413" s="4" t="str">
        <f>HYPERLINK("http://cdn.wpsstatic.com/images/full/94d2-572a525397cd8.jpg", "http://cdn.wpsstatic.com/images/full/94d2-572a525397cd8.jpg")</f>
        <v>http://cdn.wpsstatic.com/images/full/94d2-572a525397cd8.jpg</v>
      </c>
      <c r="B1413" s="5" t="s">
        <v>1413</v>
      </c>
    </row>
    <row r="1414" spans="1:2" x14ac:dyDescent="0.2">
      <c r="A1414" s="4" t="str">
        <f>HYPERLINK("http://cdn.wpsstatic.com/images/full/94d8-6040f8590a24a.jpg", "http://cdn.wpsstatic.com/images/full/94d8-6040f8590a24a.jpg")</f>
        <v>http://cdn.wpsstatic.com/images/full/94d8-6040f8590a24a.jpg</v>
      </c>
      <c r="B1414" s="5" t="s">
        <v>1414</v>
      </c>
    </row>
    <row r="1415" spans="1:2" x14ac:dyDescent="0.2">
      <c r="A1415" s="4" t="str">
        <f>HYPERLINK("http://cdn.wpsstatic.com/images/full/94eb-572a543edcea5.jpg", "http://cdn.wpsstatic.com/images/full/94eb-572a543edcea5.jpg")</f>
        <v>http://cdn.wpsstatic.com/images/full/94eb-572a543edcea5.jpg</v>
      </c>
      <c r="B1415" s="5" t="s">
        <v>1415</v>
      </c>
    </row>
    <row r="1416" spans="1:2" x14ac:dyDescent="0.2">
      <c r="A1416" s="4" t="str">
        <f>HYPERLINK("http://cdn.wpsstatic.com/images/full/954a-572a532267469.jpg", "http://cdn.wpsstatic.com/images/full/954a-572a532267469.jpg")</f>
        <v>http://cdn.wpsstatic.com/images/full/954a-572a532267469.jpg</v>
      </c>
      <c r="B1416" s="5" t="s">
        <v>1416</v>
      </c>
    </row>
    <row r="1417" spans="1:2" x14ac:dyDescent="0.2">
      <c r="A1417" s="4" t="str">
        <f>HYPERLINK("http://cdn.wpsstatic.com/images/full/9558-5fb4500bdf991.jpg", "http://cdn.wpsstatic.com/images/full/9558-5fb4500bdf991.jpg")</f>
        <v>http://cdn.wpsstatic.com/images/full/9558-5fb4500bdf991.jpg</v>
      </c>
      <c r="B1417" s="5" t="s">
        <v>1417</v>
      </c>
    </row>
    <row r="1418" spans="1:2" x14ac:dyDescent="0.2">
      <c r="A1418" s="4" t="str">
        <f>HYPERLINK("http://cdn.wpsstatic.com/images/full/9597-572a56433df9d.jpg", "http://cdn.wpsstatic.com/images/full/9597-572a56433df9d.jpg")</f>
        <v>http://cdn.wpsstatic.com/images/full/9597-572a56433df9d.jpg</v>
      </c>
      <c r="B1418" s="5" t="s">
        <v>1418</v>
      </c>
    </row>
    <row r="1419" spans="1:2" x14ac:dyDescent="0.2">
      <c r="A1419" s="4" t="str">
        <f>HYPERLINK("http://cdn.wpsstatic.com/images/full/95b6-5f57922b2290a.jpg", "http://cdn.wpsstatic.com/images/full/95b6-5f57922b2290a.jpg")</f>
        <v>http://cdn.wpsstatic.com/images/full/95b6-5f57922b2290a.jpg</v>
      </c>
      <c r="B1419" s="5" t="s">
        <v>1419</v>
      </c>
    </row>
    <row r="1420" spans="1:2" x14ac:dyDescent="0.2">
      <c r="A1420" s="4" t="str">
        <f>HYPERLINK("http://cdn.wpsstatic.com/images/full/963d-572a55536e1f6.jpg", "http://cdn.wpsstatic.com/images/full/963d-572a55536e1f6.jpg")</f>
        <v>http://cdn.wpsstatic.com/images/full/963d-572a55536e1f6.jpg</v>
      </c>
      <c r="B1420" s="5" t="s">
        <v>1420</v>
      </c>
    </row>
    <row r="1421" spans="1:2" x14ac:dyDescent="0.2">
      <c r="A1421" s="4" t="str">
        <f>HYPERLINK("http://cdn.wpsstatic.com/images/full/963e-572a55a3c1a49.jpg", "http://cdn.wpsstatic.com/images/full/963e-572a55a3c1a49.jpg")</f>
        <v>http://cdn.wpsstatic.com/images/full/963e-572a55a3c1a49.jpg</v>
      </c>
      <c r="B1421" s="5" t="s">
        <v>1421</v>
      </c>
    </row>
    <row r="1422" spans="1:2" x14ac:dyDescent="0.2">
      <c r="A1422" s="4" t="str">
        <f>HYPERLINK("http://cdn.wpsstatic.com/images/full/9642-572a5343576dd.jpg", "http://cdn.wpsstatic.com/images/full/9642-572a5343576dd.jpg")</f>
        <v>http://cdn.wpsstatic.com/images/full/9642-572a5343576dd.jpg</v>
      </c>
      <c r="B1422" s="5" t="s">
        <v>1422</v>
      </c>
    </row>
    <row r="1423" spans="1:2" x14ac:dyDescent="0.2">
      <c r="A1423" s="4" t="str">
        <f>HYPERLINK("http://cdn.wpsstatic.com/images/full/9648-5d0293b1113f0.jpg", "http://cdn.wpsstatic.com/images/full/9648-5d0293b1113f0.jpg")</f>
        <v>http://cdn.wpsstatic.com/images/full/9648-5d0293b1113f0.jpg</v>
      </c>
      <c r="B1423" s="5" t="s">
        <v>1423</v>
      </c>
    </row>
    <row r="1424" spans="1:2" x14ac:dyDescent="0.2">
      <c r="A1424" s="4" t="str">
        <f>HYPERLINK("http://cdn.wpsstatic.com/images/full/9667-572a534c73ca5.jpg", "http://cdn.wpsstatic.com/images/full/9667-572a534c73ca5.jpg")</f>
        <v>http://cdn.wpsstatic.com/images/full/9667-572a534c73ca5.jpg</v>
      </c>
      <c r="B1424" s="5" t="s">
        <v>1424</v>
      </c>
    </row>
    <row r="1425" spans="1:2" x14ac:dyDescent="0.2">
      <c r="A1425" s="4" t="str">
        <f>HYPERLINK("http://cdn.wpsstatic.com/images/full/966b-572a54feb28ef.jpg", "http://cdn.wpsstatic.com/images/full/966b-572a54feb28ef.jpg")</f>
        <v>http://cdn.wpsstatic.com/images/full/966b-572a54feb28ef.jpg</v>
      </c>
      <c r="B1425" s="5" t="s">
        <v>1425</v>
      </c>
    </row>
    <row r="1426" spans="1:2" x14ac:dyDescent="0.2">
      <c r="A1426" s="4" t="str">
        <f>HYPERLINK("http://cdn.wpsstatic.com/images/full/9684-572a5494161bb.jpg", "http://cdn.wpsstatic.com/images/full/9684-572a5494161bb.jpg")</f>
        <v>http://cdn.wpsstatic.com/images/full/9684-572a5494161bb.jpg</v>
      </c>
      <c r="B1426" s="5" t="s">
        <v>1426</v>
      </c>
    </row>
    <row r="1427" spans="1:2" x14ac:dyDescent="0.2">
      <c r="A1427" s="4" t="str">
        <f>HYPERLINK("http://cdn.wpsstatic.com/images/full/968a-572a53d91cc1b.jpg", "http://cdn.wpsstatic.com/images/full/968a-572a53d91cc1b.jpg")</f>
        <v>http://cdn.wpsstatic.com/images/full/968a-572a53d91cc1b.jpg</v>
      </c>
      <c r="B1427" s="5" t="s">
        <v>1427</v>
      </c>
    </row>
    <row r="1428" spans="1:2" x14ac:dyDescent="0.2">
      <c r="A1428" s="4" t="str">
        <f>HYPERLINK("http://cdn.wpsstatic.com/images/full/9692-572a5453e1930.jpg", "http://cdn.wpsstatic.com/images/full/9692-572a5453e1930.jpg")</f>
        <v>http://cdn.wpsstatic.com/images/full/9692-572a5453e1930.jpg</v>
      </c>
      <c r="B1428" s="5" t="s">
        <v>1428</v>
      </c>
    </row>
    <row r="1429" spans="1:2" x14ac:dyDescent="0.2">
      <c r="A1429" s="4" t="str">
        <f>HYPERLINK("http://cdn.wpsstatic.com/images/full/9694-5885c24de3fa0.jpg", "http://cdn.wpsstatic.com/images/full/9694-5885c24de3fa0.jpg")</f>
        <v>http://cdn.wpsstatic.com/images/full/9694-5885c24de3fa0.jpg</v>
      </c>
      <c r="B1429" s="5" t="s">
        <v>1429</v>
      </c>
    </row>
    <row r="1430" spans="1:2" x14ac:dyDescent="0.2">
      <c r="A1430" s="4" t="str">
        <f>HYPERLINK("http://cdn.wpsstatic.com/images/full/9696-572a547c9f30c.jpg", "http://cdn.wpsstatic.com/images/full/9696-572a547c9f30c.jpg")</f>
        <v>http://cdn.wpsstatic.com/images/full/9696-572a547c9f30c.jpg</v>
      </c>
      <c r="B1430" s="5" t="s">
        <v>1430</v>
      </c>
    </row>
    <row r="1431" spans="1:2" x14ac:dyDescent="0.2">
      <c r="A1431" s="4" t="str">
        <f>HYPERLINK("http://cdn.wpsstatic.com/images/full/96a7-5c1002e489f9a.jpeg", "http://cdn.wpsstatic.com/images/full/96a7-5c1002e489f9a.jpeg")</f>
        <v>http://cdn.wpsstatic.com/images/full/96a7-5c1002e489f9a.jpeg</v>
      </c>
      <c r="B1431" s="5" t="s">
        <v>1431</v>
      </c>
    </row>
    <row r="1432" spans="1:2" x14ac:dyDescent="0.2">
      <c r="A1432" s="4" t="str">
        <f>HYPERLINK("http://cdn.wpsstatic.com/images/full/96aa-572a538230822.jpg", "http://cdn.wpsstatic.com/images/full/96aa-572a538230822.jpg")</f>
        <v>http://cdn.wpsstatic.com/images/full/96aa-572a538230822.jpg</v>
      </c>
      <c r="B1432" s="5" t="s">
        <v>1432</v>
      </c>
    </row>
    <row r="1433" spans="1:2" x14ac:dyDescent="0.2">
      <c r="A1433" s="4" t="str">
        <f>HYPERLINK("http://cdn.wpsstatic.com/images/full/96aa-572a538230822.jpg", "http://cdn.wpsstatic.com/images/full/96aa-572a538230822.jpg")</f>
        <v>http://cdn.wpsstatic.com/images/full/96aa-572a538230822.jpg</v>
      </c>
      <c r="B1433" s="5" t="s">
        <v>1433</v>
      </c>
    </row>
    <row r="1434" spans="1:2" x14ac:dyDescent="0.2">
      <c r="A1434" s="4" t="str">
        <f>HYPERLINK("http://cdn.wpsstatic.com/images/full/972c-572a535771449.jpg", "http://cdn.wpsstatic.com/images/full/972c-572a535771449.jpg")</f>
        <v>http://cdn.wpsstatic.com/images/full/972c-572a535771449.jpg</v>
      </c>
      <c r="B1434" s="5" t="s">
        <v>1434</v>
      </c>
    </row>
    <row r="1435" spans="1:2" x14ac:dyDescent="0.2">
      <c r="A1435" s="4" t="str">
        <f>HYPERLINK("http://cdn.wpsstatic.com/images/full/972f-572a563478152.jpg", "http://cdn.wpsstatic.com/images/full/972f-572a563478152.jpg")</f>
        <v>http://cdn.wpsstatic.com/images/full/972f-572a563478152.jpg</v>
      </c>
      <c r="B1435" s="5" t="s">
        <v>1435</v>
      </c>
    </row>
    <row r="1436" spans="1:2" x14ac:dyDescent="0.2">
      <c r="A1436" s="4" t="str">
        <f>HYPERLINK("http://cdn.wpsstatic.com/images/full/9731-5d029f87d998f.jpg", "http://cdn.wpsstatic.com/images/full/9731-5d029f87d998f.jpg")</f>
        <v>http://cdn.wpsstatic.com/images/full/9731-5d029f87d998f.jpg</v>
      </c>
      <c r="B1436" s="5" t="s">
        <v>1436</v>
      </c>
    </row>
    <row r="1437" spans="1:2" x14ac:dyDescent="0.2">
      <c r="A1437" s="4" t="str">
        <f>HYPERLINK("http://cdn.wpsstatic.com/images/full/973d-572a5374aef89.jpg", "http://cdn.wpsstatic.com/images/full/973d-572a5374aef89.jpg")</f>
        <v>http://cdn.wpsstatic.com/images/full/973d-572a5374aef89.jpg</v>
      </c>
      <c r="B1437" s="5" t="s">
        <v>1437</v>
      </c>
    </row>
    <row r="1438" spans="1:2" x14ac:dyDescent="0.2">
      <c r="A1438" s="4" t="str">
        <f>HYPERLINK("http://cdn.wpsstatic.com/images/full/9746-572a542a1a3e3.jpg", "http://cdn.wpsstatic.com/images/full/9746-572a542a1a3e3.jpg")</f>
        <v>http://cdn.wpsstatic.com/images/full/9746-572a542a1a3e3.jpg</v>
      </c>
      <c r="B1438" s="5" t="s">
        <v>1438</v>
      </c>
    </row>
    <row r="1439" spans="1:2" x14ac:dyDescent="0.2">
      <c r="A1439" s="4" t="str">
        <f>HYPERLINK("http://cdn.wpsstatic.com/images/full/974b-572a54ebf2050.jpg", "http://cdn.wpsstatic.com/images/full/974b-572a54ebf2050.jpg")</f>
        <v>http://cdn.wpsstatic.com/images/full/974b-572a54ebf2050.jpg</v>
      </c>
      <c r="B1439" s="5" t="s">
        <v>1439</v>
      </c>
    </row>
    <row r="1440" spans="1:2" x14ac:dyDescent="0.2">
      <c r="A1440" s="4" t="str">
        <f>HYPERLINK("http://cdn.wpsstatic.com/images/full/975e-572a74fd8b1c8.jpg", "http://cdn.wpsstatic.com/images/full/975e-572a74fd8b1c8.jpg")</f>
        <v>http://cdn.wpsstatic.com/images/full/975e-572a74fd8b1c8.jpg</v>
      </c>
      <c r="B1440" s="5" t="s">
        <v>1440</v>
      </c>
    </row>
    <row r="1441" spans="1:2" x14ac:dyDescent="0.2">
      <c r="A1441" s="4" t="str">
        <f>HYPERLINK("http://cdn.wpsstatic.com/images/full/9772-5d0295b531a11.jpg", "http://cdn.wpsstatic.com/images/full/9772-5d0295b531a11.jpg")</f>
        <v>http://cdn.wpsstatic.com/images/full/9772-5d0295b531a11.jpg</v>
      </c>
      <c r="B1441" s="5" t="s">
        <v>1441</v>
      </c>
    </row>
    <row r="1442" spans="1:2" x14ac:dyDescent="0.2">
      <c r="A1442" s="4" t="str">
        <f>HYPERLINK("http://cdn.wpsstatic.com/images/full/9776-572a538f292bb.jpg", "http://cdn.wpsstatic.com/images/full/9776-572a538f292bb.jpg")</f>
        <v>http://cdn.wpsstatic.com/images/full/9776-572a538f292bb.jpg</v>
      </c>
      <c r="B1442" s="5" t="s">
        <v>1442</v>
      </c>
    </row>
    <row r="1443" spans="1:2" x14ac:dyDescent="0.2">
      <c r="A1443" s="4" t="str">
        <f>HYPERLINK("http://cdn.wpsstatic.com/images/full/9779-572a5433db1a6.jpg", "http://cdn.wpsstatic.com/images/full/9779-572a5433db1a6.jpg")</f>
        <v>http://cdn.wpsstatic.com/images/full/9779-572a5433db1a6.jpg</v>
      </c>
      <c r="B1443" s="5" t="s">
        <v>1443</v>
      </c>
    </row>
    <row r="1444" spans="1:2" x14ac:dyDescent="0.2">
      <c r="A1444" s="4" t="str">
        <f>HYPERLINK("http://cdn.wpsstatic.com/images/full/977f-572a544c16b5a.jpg", "http://cdn.wpsstatic.com/images/full/977f-572a544c16b5a.jpg")</f>
        <v>http://cdn.wpsstatic.com/images/full/977f-572a544c16b5a.jpg</v>
      </c>
      <c r="B1444" s="5" t="s">
        <v>1444</v>
      </c>
    </row>
    <row r="1445" spans="1:2" x14ac:dyDescent="0.2">
      <c r="A1445" s="4" t="str">
        <f>HYPERLINK("http://cdn.wpsstatic.com/images/full/978f-572a52bcda984.jpg", "http://cdn.wpsstatic.com/images/full/978f-572a52bcda984.jpg")</f>
        <v>http://cdn.wpsstatic.com/images/full/978f-572a52bcda984.jpg</v>
      </c>
      <c r="B1445" s="5" t="s">
        <v>1445</v>
      </c>
    </row>
    <row r="1446" spans="1:2" x14ac:dyDescent="0.2">
      <c r="A1446" s="4" t="str">
        <f>HYPERLINK("http://cdn.wpsstatic.com/images/full/97ce-572a558e713df.jpg", "http://cdn.wpsstatic.com/images/full/97ce-572a558e713df.jpg")</f>
        <v>http://cdn.wpsstatic.com/images/full/97ce-572a558e713df.jpg</v>
      </c>
      <c r="B1446" s="5" t="s">
        <v>1446</v>
      </c>
    </row>
    <row r="1447" spans="1:2" x14ac:dyDescent="0.2">
      <c r="A1447" s="4" t="str">
        <f>HYPERLINK("http://cdn.wpsstatic.com/images/full/980f-5885c20cd8cdc.jpg", "http://cdn.wpsstatic.com/images/full/980f-5885c20cd8cdc.jpg")</f>
        <v>http://cdn.wpsstatic.com/images/full/980f-5885c20cd8cdc.jpg</v>
      </c>
      <c r="B1447" s="5" t="s">
        <v>1447</v>
      </c>
    </row>
    <row r="1448" spans="1:2" x14ac:dyDescent="0.2">
      <c r="A1448" s="4" t="str">
        <f>HYPERLINK("http://cdn.wpsstatic.com/images/full/982f-5f5299c739e20.jpg", "http://cdn.wpsstatic.com/images/full/982f-5f5299c739e20.jpg")</f>
        <v>http://cdn.wpsstatic.com/images/full/982f-5f5299c739e20.jpg</v>
      </c>
      <c r="B1448" s="5" t="s">
        <v>1448</v>
      </c>
    </row>
    <row r="1449" spans="1:2" x14ac:dyDescent="0.2">
      <c r="A1449" s="4" t="str">
        <f>HYPERLINK("http://cdn.wpsstatic.com/images/full/9834-5f57952346b45.jpg", "http://cdn.wpsstatic.com/images/full/9834-5f57952346b45.jpg")</f>
        <v>http://cdn.wpsstatic.com/images/full/9834-5f57952346b45.jpg</v>
      </c>
      <c r="B1449" s="5" t="s">
        <v>1449</v>
      </c>
    </row>
    <row r="1450" spans="1:2" x14ac:dyDescent="0.2">
      <c r="A1450" s="4" t="str">
        <f>HYPERLINK("http://cdn.wpsstatic.com/images/full/9838-5885c20eb646d.jpg", "http://cdn.wpsstatic.com/images/full/9838-5885c20eb646d.jpg")</f>
        <v>http://cdn.wpsstatic.com/images/full/9838-5885c20eb646d.jpg</v>
      </c>
      <c r="B1450" s="5" t="s">
        <v>1450</v>
      </c>
    </row>
    <row r="1451" spans="1:2" x14ac:dyDescent="0.2">
      <c r="A1451" s="4" t="str">
        <f>HYPERLINK("http://cdn.wpsstatic.com/images/full/9850-572a547e71c2b.jpg", "http://cdn.wpsstatic.com/images/full/9850-572a547e71c2b.jpg")</f>
        <v>http://cdn.wpsstatic.com/images/full/9850-572a547e71c2b.jpg</v>
      </c>
      <c r="B1451" s="5" t="s">
        <v>1451</v>
      </c>
    </row>
    <row r="1452" spans="1:2" x14ac:dyDescent="0.2">
      <c r="A1452" s="4" t="str">
        <f>HYPERLINK("http://cdn.wpsstatic.com/images/full/985d-572a53ed319ed.jpg", "http://cdn.wpsstatic.com/images/full/985d-572a53ed319ed.jpg")</f>
        <v>http://cdn.wpsstatic.com/images/full/985d-572a53ed319ed.jpg</v>
      </c>
      <c r="B1452" s="5" t="s">
        <v>1452</v>
      </c>
    </row>
    <row r="1453" spans="1:2" x14ac:dyDescent="0.2">
      <c r="A1453" s="4" t="str">
        <f>HYPERLINK("http://cdn.wpsstatic.com/images/full/9866-572a556ae1902.jpg", "http://cdn.wpsstatic.com/images/full/9866-572a556ae1902.jpg")</f>
        <v>http://cdn.wpsstatic.com/images/full/9866-572a556ae1902.jpg</v>
      </c>
      <c r="B1453" s="5" t="s">
        <v>1453</v>
      </c>
    </row>
    <row r="1454" spans="1:2" x14ac:dyDescent="0.2">
      <c r="A1454" s="4" t="str">
        <f>HYPERLINK("http://cdn.wpsstatic.com/images/full/986a-572a53c82fdc8.jpg", "http://cdn.wpsstatic.com/images/full/986a-572a53c82fdc8.jpg")</f>
        <v>http://cdn.wpsstatic.com/images/full/986a-572a53c82fdc8.jpg</v>
      </c>
      <c r="B1454" s="5" t="s">
        <v>1454</v>
      </c>
    </row>
    <row r="1455" spans="1:2" x14ac:dyDescent="0.2">
      <c r="A1455" s="4" t="str">
        <f>HYPERLINK("http://cdn.wpsstatic.com/images/full/986d-572a54eb43eff.jpg", "http://cdn.wpsstatic.com/images/full/986d-572a54eb43eff.jpg")</f>
        <v>http://cdn.wpsstatic.com/images/full/986d-572a54eb43eff.jpg</v>
      </c>
      <c r="B1455" s="5" t="s">
        <v>1455</v>
      </c>
    </row>
    <row r="1456" spans="1:2" x14ac:dyDescent="0.2">
      <c r="A1456" s="4" t="str">
        <f>HYPERLINK("http://cdn.wpsstatic.com/images/full/9886-572a54a2b090d.jpg", "http://cdn.wpsstatic.com/images/full/9886-572a54a2b090d.jpg")</f>
        <v>http://cdn.wpsstatic.com/images/full/9886-572a54a2b090d.jpg</v>
      </c>
      <c r="B1456" s="5" t="s">
        <v>1456</v>
      </c>
    </row>
    <row r="1457" spans="1:2" x14ac:dyDescent="0.2">
      <c r="A1457" s="4" t="str">
        <f>HYPERLINK("http://cdn.wpsstatic.com/images/full/9903-572a5525a2322.jpg", "http://cdn.wpsstatic.com/images/full/9903-572a5525a2322.jpg")</f>
        <v>http://cdn.wpsstatic.com/images/full/9903-572a5525a2322.jpg</v>
      </c>
      <c r="B1457" s="5" t="s">
        <v>1457</v>
      </c>
    </row>
    <row r="1458" spans="1:2" x14ac:dyDescent="0.2">
      <c r="A1458" s="4" t="str">
        <f>HYPERLINK("http://cdn.wpsstatic.com/images/full/990c-572a53ec1d918.jpg", "http://cdn.wpsstatic.com/images/full/990c-572a53ec1d918.jpg")</f>
        <v>http://cdn.wpsstatic.com/images/full/990c-572a53ec1d918.jpg</v>
      </c>
      <c r="B1458" s="5" t="s">
        <v>1458</v>
      </c>
    </row>
    <row r="1459" spans="1:2" x14ac:dyDescent="0.2">
      <c r="A1459" s="4" t="str">
        <f>HYPERLINK("http://cdn.wpsstatic.com/images/full/991f-5d16845c612e0.jpg", "http://cdn.wpsstatic.com/images/full/991f-5d16845c612e0.jpg")</f>
        <v>http://cdn.wpsstatic.com/images/full/991f-5d16845c612e0.jpg</v>
      </c>
      <c r="B1459" s="5" t="s">
        <v>1459</v>
      </c>
    </row>
    <row r="1460" spans="1:2" x14ac:dyDescent="0.2">
      <c r="A1460" s="4" t="str">
        <f>HYPERLINK("http://cdn.wpsstatic.com/images/full/993f-572a54cee8703.jpg", "http://cdn.wpsstatic.com/images/full/993f-572a54cee8703.jpg")</f>
        <v>http://cdn.wpsstatic.com/images/full/993f-572a54cee8703.jpg</v>
      </c>
      <c r="B1460" s="5" t="s">
        <v>1460</v>
      </c>
    </row>
    <row r="1461" spans="1:2" x14ac:dyDescent="0.2">
      <c r="A1461" s="4" t="str">
        <f>HYPERLINK("http://cdn.wpsstatic.com/images/full/998d-572a5379767ff.jpg", "http://cdn.wpsstatic.com/images/full/998d-572a5379767ff.jpg")</f>
        <v>http://cdn.wpsstatic.com/images/full/998d-572a5379767ff.jpg</v>
      </c>
      <c r="B1461" s="5" t="s">
        <v>1461</v>
      </c>
    </row>
    <row r="1462" spans="1:2" x14ac:dyDescent="0.2">
      <c r="A1462" s="4" t="str">
        <f>HYPERLINK("http://cdn.wpsstatic.com/images/full/9992-572a528ad9df8.jpg", "http://cdn.wpsstatic.com/images/full/9992-572a528ad9df8.jpg")</f>
        <v>http://cdn.wpsstatic.com/images/full/9992-572a528ad9df8.jpg</v>
      </c>
      <c r="B1462" s="5" t="s">
        <v>1462</v>
      </c>
    </row>
    <row r="1463" spans="1:2" x14ac:dyDescent="0.2">
      <c r="A1463" s="4" t="str">
        <f>HYPERLINK("http://cdn.wpsstatic.com/images/full/99ac-572a533f8385b.jpg", "http://cdn.wpsstatic.com/images/full/99ac-572a533f8385b.jpg")</f>
        <v>http://cdn.wpsstatic.com/images/full/99ac-572a533f8385b.jpg</v>
      </c>
      <c r="B1463" s="5" t="s">
        <v>1463</v>
      </c>
    </row>
    <row r="1464" spans="1:2" x14ac:dyDescent="0.2">
      <c r="A1464" s="4" t="str">
        <f>HYPERLINK("http://cdn.wpsstatic.com/images/full/99b0-572a54aaa2825.jpg", "http://cdn.wpsstatic.com/images/full/99b0-572a54aaa2825.jpg")</f>
        <v>http://cdn.wpsstatic.com/images/full/99b0-572a54aaa2825.jpg</v>
      </c>
      <c r="B1464" s="5" t="s">
        <v>1464</v>
      </c>
    </row>
    <row r="1465" spans="1:2" x14ac:dyDescent="0.2">
      <c r="A1465" s="4" t="str">
        <f>HYPERLINK("http://cdn.wpsstatic.com/images/full/99b1-5d029059d4d20.jpg", "http://cdn.wpsstatic.com/images/full/99b1-5d029059d4d20.jpg")</f>
        <v>http://cdn.wpsstatic.com/images/full/99b1-5d029059d4d20.jpg</v>
      </c>
      <c r="B1465" s="5" t="s">
        <v>1465</v>
      </c>
    </row>
    <row r="1466" spans="1:2" x14ac:dyDescent="0.2">
      <c r="A1466" s="4" t="str">
        <f>HYPERLINK("http://cdn.wpsstatic.com/images/full/99c4-572a54b16d7fc.jpg", "http://cdn.wpsstatic.com/images/full/99c4-572a54b16d7fc.jpg")</f>
        <v>http://cdn.wpsstatic.com/images/full/99c4-572a54b16d7fc.jpg</v>
      </c>
      <c r="B1466" s="5" t="s">
        <v>1466</v>
      </c>
    </row>
    <row r="1467" spans="1:2" x14ac:dyDescent="0.2">
      <c r="A1467" s="4" t="str">
        <f>HYPERLINK("http://cdn.wpsstatic.com/images/full/9a50-5d029671741c9.jpg", "http://cdn.wpsstatic.com/images/full/9a50-5d029671741c9.jpg")</f>
        <v>http://cdn.wpsstatic.com/images/full/9a50-5d029671741c9.jpg</v>
      </c>
      <c r="B1467" s="5" t="s">
        <v>1467</v>
      </c>
    </row>
    <row r="1468" spans="1:2" x14ac:dyDescent="0.2">
      <c r="A1468" s="4" t="str">
        <f>HYPERLINK("http://cdn.wpsstatic.com/images/full/9ad9-572a54602d340.jpg", "http://cdn.wpsstatic.com/images/full/9ad9-572a54602d340.jpg")</f>
        <v>http://cdn.wpsstatic.com/images/full/9ad9-572a54602d340.jpg</v>
      </c>
      <c r="B1468" s="5" t="s">
        <v>1468</v>
      </c>
    </row>
    <row r="1469" spans="1:2" x14ac:dyDescent="0.2">
      <c r="A1469" s="4" t="str">
        <f>HYPERLINK("http://cdn.wpsstatic.com/images/full/9aef-572a54a3155d1.jpg", "http://cdn.wpsstatic.com/images/full/9aef-572a54a3155d1.jpg")</f>
        <v>http://cdn.wpsstatic.com/images/full/9aef-572a54a3155d1.jpg</v>
      </c>
      <c r="B1469" s="5" t="s">
        <v>1469</v>
      </c>
    </row>
    <row r="1470" spans="1:2" x14ac:dyDescent="0.2">
      <c r="A1470" s="4" t="str">
        <f>HYPERLINK("http://cdn.wpsstatic.com/images/full/9b37-572a52c0921c0.jpg", "http://cdn.wpsstatic.com/images/full/9b37-572a52c0921c0.jpg")</f>
        <v>http://cdn.wpsstatic.com/images/full/9b37-572a52c0921c0.jpg</v>
      </c>
      <c r="B1470" s="5" t="s">
        <v>1470</v>
      </c>
    </row>
    <row r="1471" spans="1:2" x14ac:dyDescent="0.2">
      <c r="A1471" s="4" t="str">
        <f>HYPERLINK("http://cdn.wpsstatic.com/images/full/9b47-572a54b306977.jpg", "http://cdn.wpsstatic.com/images/full/9b47-572a54b306977.jpg")</f>
        <v>http://cdn.wpsstatic.com/images/full/9b47-572a54b306977.jpg</v>
      </c>
      <c r="B1471" s="5" t="s">
        <v>1471</v>
      </c>
    </row>
    <row r="1472" spans="1:2" x14ac:dyDescent="0.2">
      <c r="A1472" s="4" t="str">
        <f>HYPERLINK("http://cdn.wpsstatic.com/images/full/9b58-572a552f7fc54.jpg", "http://cdn.wpsstatic.com/images/full/9b58-572a552f7fc54.jpg")</f>
        <v>http://cdn.wpsstatic.com/images/full/9b58-572a552f7fc54.jpg</v>
      </c>
      <c r="B1472" s="5" t="s">
        <v>1472</v>
      </c>
    </row>
    <row r="1473" spans="1:2" x14ac:dyDescent="0.2">
      <c r="A1473" s="4" t="str">
        <f>HYPERLINK("http://cdn.wpsstatic.com/images/full/9b9a-572a558be5a47.jpg", "http://cdn.wpsstatic.com/images/full/9b9a-572a558be5a47.jpg")</f>
        <v>http://cdn.wpsstatic.com/images/full/9b9a-572a558be5a47.jpg</v>
      </c>
      <c r="B1473" s="5" t="s">
        <v>1473</v>
      </c>
    </row>
    <row r="1474" spans="1:2" x14ac:dyDescent="0.2">
      <c r="A1474" s="4" t="str">
        <f>HYPERLINK("http://cdn.wpsstatic.com/images/full/9ba8-5885c232690b8.jpg", "http://cdn.wpsstatic.com/images/full/9ba8-5885c232690b8.jpg")</f>
        <v>http://cdn.wpsstatic.com/images/full/9ba8-5885c232690b8.jpg</v>
      </c>
      <c r="B1474" s="5" t="s">
        <v>1474</v>
      </c>
    </row>
    <row r="1475" spans="1:2" x14ac:dyDescent="0.2">
      <c r="A1475" s="4" t="str">
        <f>HYPERLINK("http://cdn.wpsstatic.com/images/full/9bce-5f5793e77d618.jpg", "http://cdn.wpsstatic.com/images/full/9bce-5f5793e77d618.jpg")</f>
        <v>http://cdn.wpsstatic.com/images/full/9bce-5f5793e77d618.jpg</v>
      </c>
      <c r="B1475" s="5" t="s">
        <v>1475</v>
      </c>
    </row>
    <row r="1476" spans="1:2" x14ac:dyDescent="0.2">
      <c r="A1476" s="4" t="str">
        <f>HYPERLINK("http://cdn.wpsstatic.com/images/full/9be0-572a52f767886.jpg", "http://cdn.wpsstatic.com/images/full/9be0-572a52f767886.jpg")</f>
        <v>http://cdn.wpsstatic.com/images/full/9be0-572a52f767886.jpg</v>
      </c>
      <c r="B1476" s="5" t="s">
        <v>1476</v>
      </c>
    </row>
    <row r="1477" spans="1:2" x14ac:dyDescent="0.2">
      <c r="A1477" s="4" t="str">
        <f>HYPERLINK("http://cdn.wpsstatic.com/images/full/9be0-572a52f767886.jpg", "http://cdn.wpsstatic.com/images/full/9be0-572a52f767886.jpg")</f>
        <v>http://cdn.wpsstatic.com/images/full/9be0-572a52f767886.jpg</v>
      </c>
      <c r="B1477" s="5" t="s">
        <v>1477</v>
      </c>
    </row>
    <row r="1478" spans="1:2" x14ac:dyDescent="0.2">
      <c r="A1478" s="4" t="str">
        <f>HYPERLINK("http://cdn.wpsstatic.com/images/full/9be0-572a52f767886.jpg", "http://cdn.wpsstatic.com/images/full/9be0-572a52f767886.jpg")</f>
        <v>http://cdn.wpsstatic.com/images/full/9be0-572a52f767886.jpg</v>
      </c>
      <c r="B1478" s="5" t="s">
        <v>1478</v>
      </c>
    </row>
    <row r="1479" spans="1:2" x14ac:dyDescent="0.2">
      <c r="A1479" s="4" t="str">
        <f>HYPERLINK("http://cdn.wpsstatic.com/images/full/9be0-572a52f767886.jpg", "http://cdn.wpsstatic.com/images/full/9be0-572a52f767886.jpg")</f>
        <v>http://cdn.wpsstatic.com/images/full/9be0-572a52f767886.jpg</v>
      </c>
      <c r="B1479" s="5" t="s">
        <v>1479</v>
      </c>
    </row>
    <row r="1480" spans="1:2" x14ac:dyDescent="0.2">
      <c r="A1480" s="4" t="str">
        <f>HYPERLINK("http://cdn.wpsstatic.com/images/full/9be0-572a52f767886.jpg", "http://cdn.wpsstatic.com/images/full/9be0-572a52f767886.jpg")</f>
        <v>http://cdn.wpsstatic.com/images/full/9be0-572a52f767886.jpg</v>
      </c>
      <c r="B1480" s="5" t="s">
        <v>1480</v>
      </c>
    </row>
    <row r="1481" spans="1:2" x14ac:dyDescent="0.2">
      <c r="A1481" s="4" t="str">
        <f>HYPERLINK("http://cdn.wpsstatic.com/images/full/9be0-572a52f767886.jpg", "http://cdn.wpsstatic.com/images/full/9be0-572a52f767886.jpg")</f>
        <v>http://cdn.wpsstatic.com/images/full/9be0-572a52f767886.jpg</v>
      </c>
      <c r="B1481" s="5" t="s">
        <v>1481</v>
      </c>
    </row>
    <row r="1482" spans="1:2" x14ac:dyDescent="0.2">
      <c r="A1482" s="4" t="str">
        <f>HYPERLINK("http://cdn.wpsstatic.com/images/full/9be0-572a52f767886.jpg", "http://cdn.wpsstatic.com/images/full/9be0-572a52f767886.jpg")</f>
        <v>http://cdn.wpsstatic.com/images/full/9be0-572a52f767886.jpg</v>
      </c>
      <c r="B1482" s="5" t="s">
        <v>1482</v>
      </c>
    </row>
    <row r="1483" spans="1:2" x14ac:dyDescent="0.2">
      <c r="A1483" s="4" t="str">
        <f>HYPERLINK("http://cdn.wpsstatic.com/images/full/9be0-572a52f767886.jpg", "http://cdn.wpsstatic.com/images/full/9be0-572a52f767886.jpg")</f>
        <v>http://cdn.wpsstatic.com/images/full/9be0-572a52f767886.jpg</v>
      </c>
      <c r="B1483" s="5" t="s">
        <v>1483</v>
      </c>
    </row>
    <row r="1484" spans="1:2" x14ac:dyDescent="0.2">
      <c r="A1484" s="4" t="str">
        <f>HYPERLINK("http://cdn.wpsstatic.com/images/full/9be0-572a52f767886.jpg", "http://cdn.wpsstatic.com/images/full/9be0-572a52f767886.jpg")</f>
        <v>http://cdn.wpsstatic.com/images/full/9be0-572a52f767886.jpg</v>
      </c>
      <c r="B1484" s="5" t="s">
        <v>1484</v>
      </c>
    </row>
    <row r="1485" spans="1:2" x14ac:dyDescent="0.2">
      <c r="A1485" s="4" t="str">
        <f>HYPERLINK("http://cdn.wpsstatic.com/images/full/9be0-572a52f767886.jpg", "http://cdn.wpsstatic.com/images/full/9be0-572a52f767886.jpg")</f>
        <v>http://cdn.wpsstatic.com/images/full/9be0-572a52f767886.jpg</v>
      </c>
      <c r="B1485" s="5" t="s">
        <v>1485</v>
      </c>
    </row>
    <row r="1486" spans="1:2" x14ac:dyDescent="0.2">
      <c r="A1486" s="4" t="str">
        <f>HYPERLINK("http://cdn.wpsstatic.com/images/full/9be0-572a52f767886.jpg", "http://cdn.wpsstatic.com/images/full/9be0-572a52f767886.jpg")</f>
        <v>http://cdn.wpsstatic.com/images/full/9be0-572a52f767886.jpg</v>
      </c>
      <c r="B1486" s="5" t="s">
        <v>1486</v>
      </c>
    </row>
    <row r="1487" spans="1:2" x14ac:dyDescent="0.2">
      <c r="A1487" s="4" t="str">
        <f>HYPERLINK("http://cdn.wpsstatic.com/images/full/9be0-572a52f767886.jpg", "http://cdn.wpsstatic.com/images/full/9be0-572a52f767886.jpg")</f>
        <v>http://cdn.wpsstatic.com/images/full/9be0-572a52f767886.jpg</v>
      </c>
      <c r="B1487" s="5" t="s">
        <v>1487</v>
      </c>
    </row>
    <row r="1488" spans="1:2" x14ac:dyDescent="0.2">
      <c r="A1488" s="4" t="str">
        <f>HYPERLINK("http://cdn.wpsstatic.com/images/full/9be0-572a52f767886.jpg", "http://cdn.wpsstatic.com/images/full/9be0-572a52f767886.jpg")</f>
        <v>http://cdn.wpsstatic.com/images/full/9be0-572a52f767886.jpg</v>
      </c>
      <c r="B1488" s="5" t="s">
        <v>1488</v>
      </c>
    </row>
    <row r="1489" spans="1:2" x14ac:dyDescent="0.2">
      <c r="A1489" s="4" t="str">
        <f>HYPERLINK("http://cdn.wpsstatic.com/images/full/9be0-572a52f767886.jpg", "http://cdn.wpsstatic.com/images/full/9be0-572a52f767886.jpg")</f>
        <v>http://cdn.wpsstatic.com/images/full/9be0-572a52f767886.jpg</v>
      </c>
      <c r="B1489" s="5" t="s">
        <v>1489</v>
      </c>
    </row>
    <row r="1490" spans="1:2" x14ac:dyDescent="0.2">
      <c r="A1490" s="4" t="str">
        <f>HYPERLINK("http://cdn.wpsstatic.com/images/full/9be0-572a52f767886.jpg", "http://cdn.wpsstatic.com/images/full/9be0-572a52f767886.jpg")</f>
        <v>http://cdn.wpsstatic.com/images/full/9be0-572a52f767886.jpg</v>
      </c>
      <c r="B1490" s="5" t="s">
        <v>1490</v>
      </c>
    </row>
    <row r="1491" spans="1:2" x14ac:dyDescent="0.2">
      <c r="A1491" s="4" t="str">
        <f>HYPERLINK("http://cdn.wpsstatic.com/images/full/9be0-572a52f767886.jpg", "http://cdn.wpsstatic.com/images/full/9be0-572a52f767886.jpg")</f>
        <v>http://cdn.wpsstatic.com/images/full/9be0-572a52f767886.jpg</v>
      </c>
      <c r="B1491" s="5" t="s">
        <v>1491</v>
      </c>
    </row>
    <row r="1492" spans="1:2" x14ac:dyDescent="0.2">
      <c r="A1492" s="4" t="str">
        <f>HYPERLINK("http://cdn.wpsstatic.com/images/full/9be0-572a52f767886.jpg", "http://cdn.wpsstatic.com/images/full/9be0-572a52f767886.jpg")</f>
        <v>http://cdn.wpsstatic.com/images/full/9be0-572a52f767886.jpg</v>
      </c>
      <c r="B1492" s="5" t="s">
        <v>1492</v>
      </c>
    </row>
    <row r="1493" spans="1:2" x14ac:dyDescent="0.2">
      <c r="A1493" s="4" t="str">
        <f>HYPERLINK("http://cdn.wpsstatic.com/images/full/9be0-572a52f767886.jpg", "http://cdn.wpsstatic.com/images/full/9be0-572a52f767886.jpg")</f>
        <v>http://cdn.wpsstatic.com/images/full/9be0-572a52f767886.jpg</v>
      </c>
      <c r="B1493" s="5" t="s">
        <v>1493</v>
      </c>
    </row>
    <row r="1494" spans="1:2" x14ac:dyDescent="0.2">
      <c r="A1494" s="4" t="str">
        <f>HYPERLINK("http://cdn.wpsstatic.com/images/full/9be0-572a52f767886.jpg", "http://cdn.wpsstatic.com/images/full/9be0-572a52f767886.jpg")</f>
        <v>http://cdn.wpsstatic.com/images/full/9be0-572a52f767886.jpg</v>
      </c>
      <c r="B1494" s="5" t="s">
        <v>1494</v>
      </c>
    </row>
    <row r="1495" spans="1:2" x14ac:dyDescent="0.2">
      <c r="A1495" s="4" t="str">
        <f>HYPERLINK("http://cdn.wpsstatic.com/images/full/9be0-572a52f767886.jpg", "http://cdn.wpsstatic.com/images/full/9be0-572a52f767886.jpg")</f>
        <v>http://cdn.wpsstatic.com/images/full/9be0-572a52f767886.jpg</v>
      </c>
      <c r="B1495" s="5" t="s">
        <v>1495</v>
      </c>
    </row>
    <row r="1496" spans="1:2" x14ac:dyDescent="0.2">
      <c r="A1496" s="4" t="str">
        <f>HYPERLINK("http://cdn.wpsstatic.com/images/full/9be0-572a52f767886.jpg", "http://cdn.wpsstatic.com/images/full/9be0-572a52f767886.jpg")</f>
        <v>http://cdn.wpsstatic.com/images/full/9be0-572a52f767886.jpg</v>
      </c>
      <c r="B1496" s="5" t="s">
        <v>1496</v>
      </c>
    </row>
    <row r="1497" spans="1:2" x14ac:dyDescent="0.2">
      <c r="A1497" s="4" t="str">
        <f>HYPERLINK("http://cdn.wpsstatic.com/images/full/9be0-572a52f767886.jpg", "http://cdn.wpsstatic.com/images/full/9be0-572a52f767886.jpg")</f>
        <v>http://cdn.wpsstatic.com/images/full/9be0-572a52f767886.jpg</v>
      </c>
      <c r="B1497" s="5" t="s">
        <v>1497</v>
      </c>
    </row>
    <row r="1498" spans="1:2" x14ac:dyDescent="0.2">
      <c r="A1498" s="4" t="str">
        <f>HYPERLINK("http://cdn.wpsstatic.com/images/full/9be0-572a52f767886.jpg", "http://cdn.wpsstatic.com/images/full/9be0-572a52f767886.jpg")</f>
        <v>http://cdn.wpsstatic.com/images/full/9be0-572a52f767886.jpg</v>
      </c>
      <c r="B1498" s="5" t="s">
        <v>1498</v>
      </c>
    </row>
    <row r="1499" spans="1:2" x14ac:dyDescent="0.2">
      <c r="A1499" s="4" t="str">
        <f>HYPERLINK("http://cdn.wpsstatic.com/images/full/9be0-572a52f767886.jpg", "http://cdn.wpsstatic.com/images/full/9be0-572a52f767886.jpg")</f>
        <v>http://cdn.wpsstatic.com/images/full/9be0-572a52f767886.jpg</v>
      </c>
      <c r="B1499" s="5" t="s">
        <v>1499</v>
      </c>
    </row>
    <row r="1500" spans="1:2" x14ac:dyDescent="0.2">
      <c r="A1500" s="4" t="str">
        <f>HYPERLINK("http://cdn.wpsstatic.com/images/full/9be0-572a52f767886.jpg", "http://cdn.wpsstatic.com/images/full/9be0-572a52f767886.jpg")</f>
        <v>http://cdn.wpsstatic.com/images/full/9be0-572a52f767886.jpg</v>
      </c>
      <c r="B1500" s="5" t="s">
        <v>1500</v>
      </c>
    </row>
    <row r="1501" spans="1:2" x14ac:dyDescent="0.2">
      <c r="A1501" s="4" t="str">
        <f>HYPERLINK("http://cdn.wpsstatic.com/images/full/9be0-572a52f767886.jpg", "http://cdn.wpsstatic.com/images/full/9be0-572a52f767886.jpg")</f>
        <v>http://cdn.wpsstatic.com/images/full/9be0-572a52f767886.jpg</v>
      </c>
      <c r="B1501" s="5" t="s">
        <v>1501</v>
      </c>
    </row>
    <row r="1502" spans="1:2" x14ac:dyDescent="0.2">
      <c r="A1502" s="4" t="str">
        <f>HYPERLINK("http://cdn.wpsstatic.com/images/full/9be0-572a52f767886.jpg", "http://cdn.wpsstatic.com/images/full/9be0-572a52f767886.jpg")</f>
        <v>http://cdn.wpsstatic.com/images/full/9be0-572a52f767886.jpg</v>
      </c>
      <c r="B1502" s="5" t="s">
        <v>1502</v>
      </c>
    </row>
    <row r="1503" spans="1:2" x14ac:dyDescent="0.2">
      <c r="A1503" s="4" t="str">
        <f>HYPERLINK("http://cdn.wpsstatic.com/images/full/9be0-572a52f767886.jpg", "http://cdn.wpsstatic.com/images/full/9be0-572a52f767886.jpg")</f>
        <v>http://cdn.wpsstatic.com/images/full/9be0-572a52f767886.jpg</v>
      </c>
      <c r="B1503" s="5" t="s">
        <v>1503</v>
      </c>
    </row>
    <row r="1504" spans="1:2" x14ac:dyDescent="0.2">
      <c r="A1504" s="4" t="str">
        <f>HYPERLINK("http://cdn.wpsstatic.com/images/full/9be0-572a52f767886.jpg", "http://cdn.wpsstatic.com/images/full/9be0-572a52f767886.jpg")</f>
        <v>http://cdn.wpsstatic.com/images/full/9be0-572a52f767886.jpg</v>
      </c>
      <c r="B1504" s="5" t="s">
        <v>1504</v>
      </c>
    </row>
    <row r="1505" spans="1:2" x14ac:dyDescent="0.2">
      <c r="A1505" s="4" t="str">
        <f>HYPERLINK("http://cdn.wpsstatic.com/images/full/9be0-572a52f767886.jpg", "http://cdn.wpsstatic.com/images/full/9be0-572a52f767886.jpg")</f>
        <v>http://cdn.wpsstatic.com/images/full/9be0-572a52f767886.jpg</v>
      </c>
      <c r="B1505" s="5" t="s">
        <v>1505</v>
      </c>
    </row>
    <row r="1506" spans="1:2" x14ac:dyDescent="0.2">
      <c r="A1506" s="4" t="str">
        <f>HYPERLINK("http://cdn.wpsstatic.com/images/full/9be0-572a52f767886.jpg", "http://cdn.wpsstatic.com/images/full/9be0-572a52f767886.jpg")</f>
        <v>http://cdn.wpsstatic.com/images/full/9be0-572a52f767886.jpg</v>
      </c>
      <c r="B1506" s="5" t="s">
        <v>1506</v>
      </c>
    </row>
    <row r="1507" spans="1:2" x14ac:dyDescent="0.2">
      <c r="A1507" s="4" t="str">
        <f>HYPERLINK("http://cdn.wpsstatic.com/images/full/9be0-572a52f767886.jpg", "http://cdn.wpsstatic.com/images/full/9be0-572a52f767886.jpg")</f>
        <v>http://cdn.wpsstatic.com/images/full/9be0-572a52f767886.jpg</v>
      </c>
      <c r="B1507" s="5" t="s">
        <v>1507</v>
      </c>
    </row>
    <row r="1508" spans="1:2" x14ac:dyDescent="0.2">
      <c r="A1508" s="4" t="str">
        <f>HYPERLINK("http://cdn.wpsstatic.com/images/full/9be0-572a52f767886.jpg", "http://cdn.wpsstatic.com/images/full/9be0-572a52f767886.jpg")</f>
        <v>http://cdn.wpsstatic.com/images/full/9be0-572a52f767886.jpg</v>
      </c>
      <c r="B1508" s="5" t="s">
        <v>1508</v>
      </c>
    </row>
    <row r="1509" spans="1:2" x14ac:dyDescent="0.2">
      <c r="A1509" s="4" t="str">
        <f>HYPERLINK("http://cdn.wpsstatic.com/images/full/9be0-572a52f767886.jpg", "http://cdn.wpsstatic.com/images/full/9be0-572a52f767886.jpg")</f>
        <v>http://cdn.wpsstatic.com/images/full/9be0-572a52f767886.jpg</v>
      </c>
      <c r="B1509" s="5" t="s">
        <v>1509</v>
      </c>
    </row>
    <row r="1510" spans="1:2" x14ac:dyDescent="0.2">
      <c r="A1510" s="4" t="str">
        <f>HYPERLINK("http://cdn.wpsstatic.com/images/full/9be0-572a52f767886.jpg", "http://cdn.wpsstatic.com/images/full/9be0-572a52f767886.jpg")</f>
        <v>http://cdn.wpsstatic.com/images/full/9be0-572a52f767886.jpg</v>
      </c>
      <c r="B1510" s="5" t="s">
        <v>1510</v>
      </c>
    </row>
    <row r="1511" spans="1:2" x14ac:dyDescent="0.2">
      <c r="A1511" s="4" t="str">
        <f>HYPERLINK("http://cdn.wpsstatic.com/images/full/9be0-572a52f767886.jpg", "http://cdn.wpsstatic.com/images/full/9be0-572a52f767886.jpg")</f>
        <v>http://cdn.wpsstatic.com/images/full/9be0-572a52f767886.jpg</v>
      </c>
      <c r="B1511" s="5" t="s">
        <v>1511</v>
      </c>
    </row>
    <row r="1512" spans="1:2" x14ac:dyDescent="0.2">
      <c r="A1512" s="4" t="str">
        <f>HYPERLINK("http://cdn.wpsstatic.com/images/full/9be0-572a52f767886.jpg", "http://cdn.wpsstatic.com/images/full/9be0-572a52f767886.jpg")</f>
        <v>http://cdn.wpsstatic.com/images/full/9be0-572a52f767886.jpg</v>
      </c>
      <c r="B1512" s="5" t="s">
        <v>1512</v>
      </c>
    </row>
    <row r="1513" spans="1:2" x14ac:dyDescent="0.2">
      <c r="A1513" s="4" t="str">
        <f>HYPERLINK("http://cdn.wpsstatic.com/images/full/9be0-572a52f767886.jpg", "http://cdn.wpsstatic.com/images/full/9be0-572a52f767886.jpg")</f>
        <v>http://cdn.wpsstatic.com/images/full/9be0-572a52f767886.jpg</v>
      </c>
      <c r="B1513" s="5" t="s">
        <v>1513</v>
      </c>
    </row>
    <row r="1514" spans="1:2" x14ac:dyDescent="0.2">
      <c r="A1514" s="4" t="str">
        <f>HYPERLINK("http://cdn.wpsstatic.com/images/full/9be0-572a52f767886.jpg", "http://cdn.wpsstatic.com/images/full/9be0-572a52f767886.jpg")</f>
        <v>http://cdn.wpsstatic.com/images/full/9be0-572a52f767886.jpg</v>
      </c>
      <c r="B1514" s="5" t="s">
        <v>1514</v>
      </c>
    </row>
    <row r="1515" spans="1:2" x14ac:dyDescent="0.2">
      <c r="A1515" s="4" t="str">
        <f>HYPERLINK("http://cdn.wpsstatic.com/images/full/9be0-572a52f767886.jpg", "http://cdn.wpsstatic.com/images/full/9be0-572a52f767886.jpg")</f>
        <v>http://cdn.wpsstatic.com/images/full/9be0-572a52f767886.jpg</v>
      </c>
      <c r="B1515" s="5" t="s">
        <v>1515</v>
      </c>
    </row>
    <row r="1516" spans="1:2" x14ac:dyDescent="0.2">
      <c r="A1516" s="4" t="str">
        <f>HYPERLINK("http://cdn.wpsstatic.com/images/full/9be0-572a52f767886.jpg", "http://cdn.wpsstatic.com/images/full/9be0-572a52f767886.jpg")</f>
        <v>http://cdn.wpsstatic.com/images/full/9be0-572a52f767886.jpg</v>
      </c>
      <c r="B1516" s="5" t="s">
        <v>1516</v>
      </c>
    </row>
    <row r="1517" spans="1:2" x14ac:dyDescent="0.2">
      <c r="A1517" s="4" t="str">
        <f>HYPERLINK("http://cdn.wpsstatic.com/images/full/9be0-572a52f767886.jpg", "http://cdn.wpsstatic.com/images/full/9be0-572a52f767886.jpg")</f>
        <v>http://cdn.wpsstatic.com/images/full/9be0-572a52f767886.jpg</v>
      </c>
      <c r="B1517" s="5" t="s">
        <v>1517</v>
      </c>
    </row>
    <row r="1518" spans="1:2" x14ac:dyDescent="0.2">
      <c r="A1518" s="4" t="str">
        <f>HYPERLINK("http://cdn.wpsstatic.com/images/full/9be0-572a52f767886.jpg", "http://cdn.wpsstatic.com/images/full/9be0-572a52f767886.jpg")</f>
        <v>http://cdn.wpsstatic.com/images/full/9be0-572a52f767886.jpg</v>
      </c>
      <c r="B1518" s="5" t="s">
        <v>1518</v>
      </c>
    </row>
    <row r="1519" spans="1:2" x14ac:dyDescent="0.2">
      <c r="A1519" s="4" t="str">
        <f>HYPERLINK("http://cdn.wpsstatic.com/images/full/9be0-572a52f767886.jpg", "http://cdn.wpsstatic.com/images/full/9be0-572a52f767886.jpg")</f>
        <v>http://cdn.wpsstatic.com/images/full/9be0-572a52f767886.jpg</v>
      </c>
      <c r="B1519" s="5" t="s">
        <v>1519</v>
      </c>
    </row>
    <row r="1520" spans="1:2" x14ac:dyDescent="0.2">
      <c r="A1520" s="4" t="str">
        <f>HYPERLINK("http://cdn.wpsstatic.com/images/full/9be0-572a52f767886.jpg", "http://cdn.wpsstatic.com/images/full/9be0-572a52f767886.jpg")</f>
        <v>http://cdn.wpsstatic.com/images/full/9be0-572a52f767886.jpg</v>
      </c>
      <c r="B1520" s="5" t="s">
        <v>1520</v>
      </c>
    </row>
    <row r="1521" spans="1:2" x14ac:dyDescent="0.2">
      <c r="A1521" s="4" t="str">
        <f>HYPERLINK("http://cdn.wpsstatic.com/images/full/9be0-572a52f767886.jpg", "http://cdn.wpsstatic.com/images/full/9be0-572a52f767886.jpg")</f>
        <v>http://cdn.wpsstatic.com/images/full/9be0-572a52f767886.jpg</v>
      </c>
      <c r="B1521" s="5" t="s">
        <v>1521</v>
      </c>
    </row>
    <row r="1522" spans="1:2" x14ac:dyDescent="0.2">
      <c r="A1522" s="4" t="str">
        <f>HYPERLINK("http://cdn.wpsstatic.com/images/full/9be0-572a52f767886.jpg", "http://cdn.wpsstatic.com/images/full/9be0-572a52f767886.jpg")</f>
        <v>http://cdn.wpsstatic.com/images/full/9be0-572a52f767886.jpg</v>
      </c>
      <c r="B1522" s="5" t="s">
        <v>1522</v>
      </c>
    </row>
    <row r="1523" spans="1:2" x14ac:dyDescent="0.2">
      <c r="A1523" s="4" t="str">
        <f>HYPERLINK("http://cdn.wpsstatic.com/images/full/9be0-572a52f767886.jpg", "http://cdn.wpsstatic.com/images/full/9be0-572a52f767886.jpg")</f>
        <v>http://cdn.wpsstatic.com/images/full/9be0-572a52f767886.jpg</v>
      </c>
      <c r="B1523" s="5" t="s">
        <v>1523</v>
      </c>
    </row>
    <row r="1524" spans="1:2" x14ac:dyDescent="0.2">
      <c r="A1524" s="4" t="str">
        <f>HYPERLINK("http://cdn.wpsstatic.com/images/full/9be0-572a52f767886.jpg", "http://cdn.wpsstatic.com/images/full/9be0-572a52f767886.jpg")</f>
        <v>http://cdn.wpsstatic.com/images/full/9be0-572a52f767886.jpg</v>
      </c>
      <c r="B1524" s="5" t="s">
        <v>1524</v>
      </c>
    </row>
    <row r="1525" spans="1:2" x14ac:dyDescent="0.2">
      <c r="A1525" s="4" t="str">
        <f>HYPERLINK("http://cdn.wpsstatic.com/images/full/9be0-572a52f767886.jpg", "http://cdn.wpsstatic.com/images/full/9be0-572a52f767886.jpg")</f>
        <v>http://cdn.wpsstatic.com/images/full/9be0-572a52f767886.jpg</v>
      </c>
      <c r="B1525" s="5" t="s">
        <v>1525</v>
      </c>
    </row>
    <row r="1526" spans="1:2" x14ac:dyDescent="0.2">
      <c r="A1526" s="4" t="str">
        <f>HYPERLINK("http://cdn.wpsstatic.com/images/full/9be0-572a52f767886.jpg", "http://cdn.wpsstatic.com/images/full/9be0-572a52f767886.jpg")</f>
        <v>http://cdn.wpsstatic.com/images/full/9be0-572a52f767886.jpg</v>
      </c>
      <c r="B1526" s="5" t="s">
        <v>1526</v>
      </c>
    </row>
    <row r="1527" spans="1:2" x14ac:dyDescent="0.2">
      <c r="A1527" s="4" t="str">
        <f>HYPERLINK("http://cdn.wpsstatic.com/images/full/9be0-572a52f767886.jpg", "http://cdn.wpsstatic.com/images/full/9be0-572a52f767886.jpg")</f>
        <v>http://cdn.wpsstatic.com/images/full/9be0-572a52f767886.jpg</v>
      </c>
      <c r="B1527" s="5" t="s">
        <v>1527</v>
      </c>
    </row>
    <row r="1528" spans="1:2" x14ac:dyDescent="0.2">
      <c r="A1528" s="4" t="str">
        <f>HYPERLINK("http://cdn.wpsstatic.com/images/full/9be0-572a52f767886.jpg", "http://cdn.wpsstatic.com/images/full/9be0-572a52f767886.jpg")</f>
        <v>http://cdn.wpsstatic.com/images/full/9be0-572a52f767886.jpg</v>
      </c>
      <c r="B1528" s="5" t="s">
        <v>1528</v>
      </c>
    </row>
    <row r="1529" spans="1:2" x14ac:dyDescent="0.2">
      <c r="A1529" s="4" t="str">
        <f>HYPERLINK("http://cdn.wpsstatic.com/images/full/9be0-572a52f767886.jpg", "http://cdn.wpsstatic.com/images/full/9be0-572a52f767886.jpg")</f>
        <v>http://cdn.wpsstatic.com/images/full/9be0-572a52f767886.jpg</v>
      </c>
      <c r="B1529" s="5" t="s">
        <v>1529</v>
      </c>
    </row>
    <row r="1530" spans="1:2" x14ac:dyDescent="0.2">
      <c r="A1530" s="4" t="str">
        <f>HYPERLINK("http://cdn.wpsstatic.com/images/full/9be0-572a52f767886.jpg", "http://cdn.wpsstatic.com/images/full/9be0-572a52f767886.jpg")</f>
        <v>http://cdn.wpsstatic.com/images/full/9be0-572a52f767886.jpg</v>
      </c>
      <c r="B1530" s="5" t="s">
        <v>1530</v>
      </c>
    </row>
    <row r="1531" spans="1:2" x14ac:dyDescent="0.2">
      <c r="A1531" s="4" t="str">
        <f>HYPERLINK("http://cdn.wpsstatic.com/images/full/9be0-572a52f767886.jpg", "http://cdn.wpsstatic.com/images/full/9be0-572a52f767886.jpg")</f>
        <v>http://cdn.wpsstatic.com/images/full/9be0-572a52f767886.jpg</v>
      </c>
      <c r="B1531" s="5" t="s">
        <v>1531</v>
      </c>
    </row>
    <row r="1532" spans="1:2" x14ac:dyDescent="0.2">
      <c r="A1532" s="4" t="str">
        <f>HYPERLINK("http://cdn.wpsstatic.com/images/full/9be0-572a52f767886.jpg", "http://cdn.wpsstatic.com/images/full/9be0-572a52f767886.jpg")</f>
        <v>http://cdn.wpsstatic.com/images/full/9be0-572a52f767886.jpg</v>
      </c>
      <c r="B1532" s="5" t="s">
        <v>1532</v>
      </c>
    </row>
    <row r="1533" spans="1:2" x14ac:dyDescent="0.2">
      <c r="A1533" s="4" t="str">
        <f>HYPERLINK("http://cdn.wpsstatic.com/images/full/9be0-572a52f767886.jpg", "http://cdn.wpsstatic.com/images/full/9be0-572a52f767886.jpg")</f>
        <v>http://cdn.wpsstatic.com/images/full/9be0-572a52f767886.jpg</v>
      </c>
      <c r="B1533" s="5" t="s">
        <v>1533</v>
      </c>
    </row>
    <row r="1534" spans="1:2" x14ac:dyDescent="0.2">
      <c r="A1534" s="4" t="str">
        <f>HYPERLINK("http://cdn.wpsstatic.com/images/full/9be0-572a52f767886.jpg", "http://cdn.wpsstatic.com/images/full/9be0-572a52f767886.jpg")</f>
        <v>http://cdn.wpsstatic.com/images/full/9be0-572a52f767886.jpg</v>
      </c>
      <c r="B1534" s="5" t="s">
        <v>1534</v>
      </c>
    </row>
    <row r="1535" spans="1:2" x14ac:dyDescent="0.2">
      <c r="A1535" s="4" t="str">
        <f>HYPERLINK("http://cdn.wpsstatic.com/images/full/9be0-572a52f767886.jpg", "http://cdn.wpsstatic.com/images/full/9be0-572a52f767886.jpg")</f>
        <v>http://cdn.wpsstatic.com/images/full/9be0-572a52f767886.jpg</v>
      </c>
      <c r="B1535" s="5" t="s">
        <v>1535</v>
      </c>
    </row>
    <row r="1536" spans="1:2" x14ac:dyDescent="0.2">
      <c r="A1536" s="4" t="str">
        <f>HYPERLINK("http://cdn.wpsstatic.com/images/full/9be0-572a52f767886.jpg", "http://cdn.wpsstatic.com/images/full/9be0-572a52f767886.jpg")</f>
        <v>http://cdn.wpsstatic.com/images/full/9be0-572a52f767886.jpg</v>
      </c>
      <c r="B1536" s="5" t="s">
        <v>1536</v>
      </c>
    </row>
    <row r="1537" spans="1:2" x14ac:dyDescent="0.2">
      <c r="A1537" s="4" t="str">
        <f>HYPERLINK("http://cdn.wpsstatic.com/images/full/9be0-572a52f767886.jpg", "http://cdn.wpsstatic.com/images/full/9be0-572a52f767886.jpg")</f>
        <v>http://cdn.wpsstatic.com/images/full/9be0-572a52f767886.jpg</v>
      </c>
      <c r="B1537" s="5" t="s">
        <v>1537</v>
      </c>
    </row>
    <row r="1538" spans="1:2" x14ac:dyDescent="0.2">
      <c r="A1538" s="4" t="str">
        <f>HYPERLINK("http://cdn.wpsstatic.com/images/full/9be0-572a52f767886.jpg", "http://cdn.wpsstatic.com/images/full/9be0-572a52f767886.jpg")</f>
        <v>http://cdn.wpsstatic.com/images/full/9be0-572a52f767886.jpg</v>
      </c>
      <c r="B1538" s="5" t="s">
        <v>1538</v>
      </c>
    </row>
    <row r="1539" spans="1:2" x14ac:dyDescent="0.2">
      <c r="A1539" s="4" t="str">
        <f>HYPERLINK("http://cdn.wpsstatic.com/images/full/9be0-572a52f767886.jpg", "http://cdn.wpsstatic.com/images/full/9be0-572a52f767886.jpg")</f>
        <v>http://cdn.wpsstatic.com/images/full/9be0-572a52f767886.jpg</v>
      </c>
      <c r="B1539" s="5" t="s">
        <v>1539</v>
      </c>
    </row>
    <row r="1540" spans="1:2" x14ac:dyDescent="0.2">
      <c r="A1540" s="4" t="str">
        <f>HYPERLINK("http://cdn.wpsstatic.com/images/full/9be0-572a52f767886.jpg", "http://cdn.wpsstatic.com/images/full/9be0-572a52f767886.jpg")</f>
        <v>http://cdn.wpsstatic.com/images/full/9be0-572a52f767886.jpg</v>
      </c>
      <c r="B1540" s="5" t="s">
        <v>1540</v>
      </c>
    </row>
    <row r="1541" spans="1:2" x14ac:dyDescent="0.2">
      <c r="A1541" s="4" t="str">
        <f>HYPERLINK("http://cdn.wpsstatic.com/images/full/9be0-572a52f767886.jpg", "http://cdn.wpsstatic.com/images/full/9be0-572a52f767886.jpg")</f>
        <v>http://cdn.wpsstatic.com/images/full/9be0-572a52f767886.jpg</v>
      </c>
      <c r="B1541" s="5" t="s">
        <v>1541</v>
      </c>
    </row>
    <row r="1542" spans="1:2" x14ac:dyDescent="0.2">
      <c r="A1542" s="4" t="str">
        <f>HYPERLINK("http://cdn.wpsstatic.com/images/full/9be0-572a52f767886.jpg", "http://cdn.wpsstatic.com/images/full/9be0-572a52f767886.jpg")</f>
        <v>http://cdn.wpsstatic.com/images/full/9be0-572a52f767886.jpg</v>
      </c>
      <c r="B1542" s="5" t="s">
        <v>1542</v>
      </c>
    </row>
    <row r="1543" spans="1:2" x14ac:dyDescent="0.2">
      <c r="A1543" s="4" t="str">
        <f>HYPERLINK("http://cdn.wpsstatic.com/images/full/9be0-572a52f767886.jpg", "http://cdn.wpsstatic.com/images/full/9be0-572a52f767886.jpg")</f>
        <v>http://cdn.wpsstatic.com/images/full/9be0-572a52f767886.jpg</v>
      </c>
      <c r="B1543" s="5" t="s">
        <v>1543</v>
      </c>
    </row>
    <row r="1544" spans="1:2" x14ac:dyDescent="0.2">
      <c r="A1544" s="4" t="str">
        <f>HYPERLINK("http://cdn.wpsstatic.com/images/full/9be0-572a52f767886.jpg", "http://cdn.wpsstatic.com/images/full/9be0-572a52f767886.jpg")</f>
        <v>http://cdn.wpsstatic.com/images/full/9be0-572a52f767886.jpg</v>
      </c>
      <c r="B1544" s="5" t="s">
        <v>1544</v>
      </c>
    </row>
    <row r="1545" spans="1:2" x14ac:dyDescent="0.2">
      <c r="A1545" s="4" t="str">
        <f>HYPERLINK("http://cdn.wpsstatic.com/images/full/9be0-572a52f767886.jpg", "http://cdn.wpsstatic.com/images/full/9be0-572a52f767886.jpg")</f>
        <v>http://cdn.wpsstatic.com/images/full/9be0-572a52f767886.jpg</v>
      </c>
      <c r="B1545" s="5" t="s">
        <v>1545</v>
      </c>
    </row>
    <row r="1546" spans="1:2" x14ac:dyDescent="0.2">
      <c r="A1546" s="4" t="str">
        <f>HYPERLINK("http://cdn.wpsstatic.com/images/full/9be0-572a52f767886.jpg", "http://cdn.wpsstatic.com/images/full/9be0-572a52f767886.jpg")</f>
        <v>http://cdn.wpsstatic.com/images/full/9be0-572a52f767886.jpg</v>
      </c>
      <c r="B1546" s="5" t="s">
        <v>1546</v>
      </c>
    </row>
    <row r="1547" spans="1:2" x14ac:dyDescent="0.2">
      <c r="A1547" s="4" t="str">
        <f>HYPERLINK("http://cdn.wpsstatic.com/images/full/9be0-572a52f767886.jpg", "http://cdn.wpsstatic.com/images/full/9be0-572a52f767886.jpg")</f>
        <v>http://cdn.wpsstatic.com/images/full/9be0-572a52f767886.jpg</v>
      </c>
      <c r="B1547" s="5" t="s">
        <v>1547</v>
      </c>
    </row>
    <row r="1548" spans="1:2" x14ac:dyDescent="0.2">
      <c r="A1548" s="4" t="str">
        <f>HYPERLINK("http://cdn.wpsstatic.com/images/full/9be0-572a52f767886.jpg", "http://cdn.wpsstatic.com/images/full/9be0-572a52f767886.jpg")</f>
        <v>http://cdn.wpsstatic.com/images/full/9be0-572a52f767886.jpg</v>
      </c>
      <c r="B1548" s="5" t="s">
        <v>1548</v>
      </c>
    </row>
    <row r="1549" spans="1:2" x14ac:dyDescent="0.2">
      <c r="A1549" s="4" t="str">
        <f>HYPERLINK("http://cdn.wpsstatic.com/images/full/9be0-572a52f767886.jpg", "http://cdn.wpsstatic.com/images/full/9be0-572a52f767886.jpg")</f>
        <v>http://cdn.wpsstatic.com/images/full/9be0-572a52f767886.jpg</v>
      </c>
      <c r="B1549" s="5" t="s">
        <v>1549</v>
      </c>
    </row>
    <row r="1550" spans="1:2" x14ac:dyDescent="0.2">
      <c r="A1550" s="4" t="str">
        <f>HYPERLINK("http://cdn.wpsstatic.com/images/full/9be0-572a52f767886.jpg", "http://cdn.wpsstatic.com/images/full/9be0-572a52f767886.jpg")</f>
        <v>http://cdn.wpsstatic.com/images/full/9be0-572a52f767886.jpg</v>
      </c>
      <c r="B1550" s="5" t="s">
        <v>1550</v>
      </c>
    </row>
    <row r="1551" spans="1:2" x14ac:dyDescent="0.2">
      <c r="A1551" s="4" t="str">
        <f>HYPERLINK("http://cdn.wpsstatic.com/images/full/9be0-572a52f767886.jpg", "http://cdn.wpsstatic.com/images/full/9be0-572a52f767886.jpg")</f>
        <v>http://cdn.wpsstatic.com/images/full/9be0-572a52f767886.jpg</v>
      </c>
      <c r="B1551" s="5" t="s">
        <v>1551</v>
      </c>
    </row>
    <row r="1552" spans="1:2" x14ac:dyDescent="0.2">
      <c r="A1552" s="4" t="str">
        <f>HYPERLINK("http://cdn.wpsstatic.com/images/full/9be0-572a52f767886.jpg", "http://cdn.wpsstatic.com/images/full/9be0-572a52f767886.jpg")</f>
        <v>http://cdn.wpsstatic.com/images/full/9be0-572a52f767886.jpg</v>
      </c>
      <c r="B1552" s="5" t="s">
        <v>1552</v>
      </c>
    </row>
    <row r="1553" spans="1:2" x14ac:dyDescent="0.2">
      <c r="A1553" s="4" t="str">
        <f>HYPERLINK("http://cdn.wpsstatic.com/images/full/9be0-572a52f767886.jpg", "http://cdn.wpsstatic.com/images/full/9be0-572a52f767886.jpg")</f>
        <v>http://cdn.wpsstatic.com/images/full/9be0-572a52f767886.jpg</v>
      </c>
      <c r="B1553" s="5" t="s">
        <v>1553</v>
      </c>
    </row>
    <row r="1554" spans="1:2" x14ac:dyDescent="0.2">
      <c r="A1554" s="4" t="str">
        <f>HYPERLINK("http://cdn.wpsstatic.com/images/full/9be0-572a52f767886.jpg", "http://cdn.wpsstatic.com/images/full/9be0-572a52f767886.jpg")</f>
        <v>http://cdn.wpsstatic.com/images/full/9be0-572a52f767886.jpg</v>
      </c>
      <c r="B1554" s="5" t="s">
        <v>1554</v>
      </c>
    </row>
    <row r="1555" spans="1:2" x14ac:dyDescent="0.2">
      <c r="A1555" s="4" t="str">
        <f>HYPERLINK("http://cdn.wpsstatic.com/images/full/9be0-572a52f767886.jpg", "http://cdn.wpsstatic.com/images/full/9be0-572a52f767886.jpg")</f>
        <v>http://cdn.wpsstatic.com/images/full/9be0-572a52f767886.jpg</v>
      </c>
      <c r="B1555" s="5" t="s">
        <v>1555</v>
      </c>
    </row>
    <row r="1556" spans="1:2" x14ac:dyDescent="0.2">
      <c r="A1556" s="4" t="str">
        <f>HYPERLINK("http://cdn.wpsstatic.com/images/full/9be0-572a52f767886.jpg", "http://cdn.wpsstatic.com/images/full/9be0-572a52f767886.jpg")</f>
        <v>http://cdn.wpsstatic.com/images/full/9be0-572a52f767886.jpg</v>
      </c>
      <c r="B1556" s="5" t="s">
        <v>1556</v>
      </c>
    </row>
    <row r="1557" spans="1:2" x14ac:dyDescent="0.2">
      <c r="A1557" s="4" t="str">
        <f>HYPERLINK("http://cdn.wpsstatic.com/images/full/9be0-572a52f767886.jpg", "http://cdn.wpsstatic.com/images/full/9be0-572a52f767886.jpg")</f>
        <v>http://cdn.wpsstatic.com/images/full/9be0-572a52f767886.jpg</v>
      </c>
      <c r="B1557" s="5" t="s">
        <v>1557</v>
      </c>
    </row>
    <row r="1558" spans="1:2" x14ac:dyDescent="0.2">
      <c r="A1558" s="4" t="str">
        <f>HYPERLINK("http://cdn.wpsstatic.com/images/full/9be0-572a52f767886.jpg", "http://cdn.wpsstatic.com/images/full/9be0-572a52f767886.jpg")</f>
        <v>http://cdn.wpsstatic.com/images/full/9be0-572a52f767886.jpg</v>
      </c>
      <c r="B1558" s="5" t="s">
        <v>1558</v>
      </c>
    </row>
    <row r="1559" spans="1:2" x14ac:dyDescent="0.2">
      <c r="A1559" s="4" t="str">
        <f>HYPERLINK("http://cdn.wpsstatic.com/images/full/9be0-572a52f767886.jpg", "http://cdn.wpsstatic.com/images/full/9be0-572a52f767886.jpg")</f>
        <v>http://cdn.wpsstatic.com/images/full/9be0-572a52f767886.jpg</v>
      </c>
      <c r="B1559" s="5" t="s">
        <v>1559</v>
      </c>
    </row>
    <row r="1560" spans="1:2" x14ac:dyDescent="0.2">
      <c r="A1560" s="4" t="str">
        <f>HYPERLINK("http://cdn.wpsstatic.com/images/full/9be0-572a52f767886.jpg", "http://cdn.wpsstatic.com/images/full/9be0-572a52f767886.jpg")</f>
        <v>http://cdn.wpsstatic.com/images/full/9be0-572a52f767886.jpg</v>
      </c>
      <c r="B1560" s="5" t="s">
        <v>1560</v>
      </c>
    </row>
    <row r="1561" spans="1:2" x14ac:dyDescent="0.2">
      <c r="A1561" s="4" t="str">
        <f>HYPERLINK("http://cdn.wpsstatic.com/images/full/9be0-572a52f767886.jpg", "http://cdn.wpsstatic.com/images/full/9be0-572a52f767886.jpg")</f>
        <v>http://cdn.wpsstatic.com/images/full/9be0-572a52f767886.jpg</v>
      </c>
      <c r="B1561" s="5" t="s">
        <v>1561</v>
      </c>
    </row>
    <row r="1562" spans="1:2" x14ac:dyDescent="0.2">
      <c r="A1562" s="4" t="str">
        <f>HYPERLINK("http://cdn.wpsstatic.com/images/full/9be0-572a52f767886.jpg", "http://cdn.wpsstatic.com/images/full/9be0-572a52f767886.jpg")</f>
        <v>http://cdn.wpsstatic.com/images/full/9be0-572a52f767886.jpg</v>
      </c>
      <c r="B1562" s="5" t="s">
        <v>1562</v>
      </c>
    </row>
    <row r="1563" spans="1:2" x14ac:dyDescent="0.2">
      <c r="A1563" s="4" t="str">
        <f>HYPERLINK("http://cdn.wpsstatic.com/images/full/9be0-572a52f767886.jpg", "http://cdn.wpsstatic.com/images/full/9be0-572a52f767886.jpg")</f>
        <v>http://cdn.wpsstatic.com/images/full/9be0-572a52f767886.jpg</v>
      </c>
      <c r="B1563" s="5" t="s">
        <v>1563</v>
      </c>
    </row>
    <row r="1564" spans="1:2" x14ac:dyDescent="0.2">
      <c r="A1564" s="4" t="str">
        <f>HYPERLINK("http://cdn.wpsstatic.com/images/full/9be0-572a52f767886.jpg", "http://cdn.wpsstatic.com/images/full/9be0-572a52f767886.jpg")</f>
        <v>http://cdn.wpsstatic.com/images/full/9be0-572a52f767886.jpg</v>
      </c>
      <c r="B1564" s="5" t="s">
        <v>1564</v>
      </c>
    </row>
    <row r="1565" spans="1:2" x14ac:dyDescent="0.2">
      <c r="A1565" s="4" t="str">
        <f>HYPERLINK("http://cdn.wpsstatic.com/images/full/9be0-572a52f767886.jpg", "http://cdn.wpsstatic.com/images/full/9be0-572a52f767886.jpg")</f>
        <v>http://cdn.wpsstatic.com/images/full/9be0-572a52f767886.jpg</v>
      </c>
      <c r="B1565" s="5" t="s">
        <v>1565</v>
      </c>
    </row>
    <row r="1566" spans="1:2" x14ac:dyDescent="0.2">
      <c r="A1566" s="4" t="str">
        <f>HYPERLINK("http://cdn.wpsstatic.com/images/full/9be0-572a52f767886.jpg", "http://cdn.wpsstatic.com/images/full/9be0-572a52f767886.jpg")</f>
        <v>http://cdn.wpsstatic.com/images/full/9be0-572a52f767886.jpg</v>
      </c>
      <c r="B1566" s="5" t="s">
        <v>1566</v>
      </c>
    </row>
    <row r="1567" spans="1:2" x14ac:dyDescent="0.2">
      <c r="A1567" s="4" t="str">
        <f>HYPERLINK("http://cdn.wpsstatic.com/images/full/9be0-572a52f767886.jpg", "http://cdn.wpsstatic.com/images/full/9be0-572a52f767886.jpg")</f>
        <v>http://cdn.wpsstatic.com/images/full/9be0-572a52f767886.jpg</v>
      </c>
      <c r="B1567" s="5" t="s">
        <v>1567</v>
      </c>
    </row>
    <row r="1568" spans="1:2" x14ac:dyDescent="0.2">
      <c r="A1568" s="4" t="str">
        <f>HYPERLINK("http://cdn.wpsstatic.com/images/full/9be0-572a52f767886.jpg", "http://cdn.wpsstatic.com/images/full/9be0-572a52f767886.jpg")</f>
        <v>http://cdn.wpsstatic.com/images/full/9be0-572a52f767886.jpg</v>
      </c>
      <c r="B1568" s="5" t="s">
        <v>1568</v>
      </c>
    </row>
    <row r="1569" spans="1:2" x14ac:dyDescent="0.2">
      <c r="A1569" s="4" t="str">
        <f>HYPERLINK("http://cdn.wpsstatic.com/images/full/9be0-572a52f767886.jpg", "http://cdn.wpsstatic.com/images/full/9be0-572a52f767886.jpg")</f>
        <v>http://cdn.wpsstatic.com/images/full/9be0-572a52f767886.jpg</v>
      </c>
      <c r="B1569" s="5" t="s">
        <v>1569</v>
      </c>
    </row>
    <row r="1570" spans="1:2" x14ac:dyDescent="0.2">
      <c r="A1570" s="4" t="str">
        <f>HYPERLINK("http://cdn.wpsstatic.com/images/full/9be0-572a52f767886.jpg", "http://cdn.wpsstatic.com/images/full/9be0-572a52f767886.jpg")</f>
        <v>http://cdn.wpsstatic.com/images/full/9be0-572a52f767886.jpg</v>
      </c>
      <c r="B1570" s="5" t="s">
        <v>1570</v>
      </c>
    </row>
    <row r="1571" spans="1:2" x14ac:dyDescent="0.2">
      <c r="A1571" s="4" t="str">
        <f>HYPERLINK("http://cdn.wpsstatic.com/images/full/9be0-572a52f767886.jpg", "http://cdn.wpsstatic.com/images/full/9be0-572a52f767886.jpg")</f>
        <v>http://cdn.wpsstatic.com/images/full/9be0-572a52f767886.jpg</v>
      </c>
      <c r="B1571" s="5" t="s">
        <v>1571</v>
      </c>
    </row>
    <row r="1572" spans="1:2" x14ac:dyDescent="0.2">
      <c r="A1572" s="4" t="str">
        <f>HYPERLINK("http://cdn.wpsstatic.com/images/full/9be0-572a52f767886.jpg", "http://cdn.wpsstatic.com/images/full/9be0-572a52f767886.jpg")</f>
        <v>http://cdn.wpsstatic.com/images/full/9be0-572a52f767886.jpg</v>
      </c>
      <c r="B1572" s="5" t="s">
        <v>1572</v>
      </c>
    </row>
    <row r="1573" spans="1:2" x14ac:dyDescent="0.2">
      <c r="A1573" s="4" t="str">
        <f>HYPERLINK("http://cdn.wpsstatic.com/images/full/9be0-572a52f767886.jpg", "http://cdn.wpsstatic.com/images/full/9be0-572a52f767886.jpg")</f>
        <v>http://cdn.wpsstatic.com/images/full/9be0-572a52f767886.jpg</v>
      </c>
      <c r="B1573" s="5" t="s">
        <v>1573</v>
      </c>
    </row>
    <row r="1574" spans="1:2" x14ac:dyDescent="0.2">
      <c r="A1574" s="4" t="str">
        <f>HYPERLINK("http://cdn.wpsstatic.com/images/full/9be0-572a52f767886.jpg", "http://cdn.wpsstatic.com/images/full/9be0-572a52f767886.jpg")</f>
        <v>http://cdn.wpsstatic.com/images/full/9be0-572a52f767886.jpg</v>
      </c>
      <c r="B1574" s="5" t="s">
        <v>1574</v>
      </c>
    </row>
    <row r="1575" spans="1:2" x14ac:dyDescent="0.2">
      <c r="A1575" s="4" t="str">
        <f>HYPERLINK("http://cdn.wpsstatic.com/images/full/9be0-572a52f767886.jpg", "http://cdn.wpsstatic.com/images/full/9be0-572a52f767886.jpg")</f>
        <v>http://cdn.wpsstatic.com/images/full/9be0-572a52f767886.jpg</v>
      </c>
      <c r="B1575" s="5" t="s">
        <v>1575</v>
      </c>
    </row>
    <row r="1576" spans="1:2" x14ac:dyDescent="0.2">
      <c r="A1576" s="4" t="str">
        <f>HYPERLINK("http://cdn.wpsstatic.com/images/full/9be0-572a52f767886.jpg", "http://cdn.wpsstatic.com/images/full/9be0-572a52f767886.jpg")</f>
        <v>http://cdn.wpsstatic.com/images/full/9be0-572a52f767886.jpg</v>
      </c>
      <c r="B1576" s="5" t="s">
        <v>1576</v>
      </c>
    </row>
    <row r="1577" spans="1:2" x14ac:dyDescent="0.2">
      <c r="A1577" s="4" t="str">
        <f>HYPERLINK("http://cdn.wpsstatic.com/images/full/9be0-572a52f767886.jpg", "http://cdn.wpsstatic.com/images/full/9be0-572a52f767886.jpg")</f>
        <v>http://cdn.wpsstatic.com/images/full/9be0-572a52f767886.jpg</v>
      </c>
      <c r="B1577" s="5" t="s">
        <v>1577</v>
      </c>
    </row>
    <row r="1578" spans="1:2" x14ac:dyDescent="0.2">
      <c r="A1578" s="4" t="str">
        <f>HYPERLINK("http://cdn.wpsstatic.com/images/full/9be0-572a52f767886.jpg", "http://cdn.wpsstatic.com/images/full/9be0-572a52f767886.jpg")</f>
        <v>http://cdn.wpsstatic.com/images/full/9be0-572a52f767886.jpg</v>
      </c>
      <c r="B1578" s="5" t="s">
        <v>1578</v>
      </c>
    </row>
    <row r="1579" spans="1:2" x14ac:dyDescent="0.2">
      <c r="A1579" s="4" t="str">
        <f>HYPERLINK("http://cdn.wpsstatic.com/images/full/9be0-572a52f767886.jpg", "http://cdn.wpsstatic.com/images/full/9be0-572a52f767886.jpg")</f>
        <v>http://cdn.wpsstatic.com/images/full/9be0-572a52f767886.jpg</v>
      </c>
      <c r="B1579" s="5" t="s">
        <v>1579</v>
      </c>
    </row>
    <row r="1580" spans="1:2" x14ac:dyDescent="0.2">
      <c r="A1580" s="4" t="str">
        <f>HYPERLINK("http://cdn.wpsstatic.com/images/full/9be0-572a52f767886.jpg", "http://cdn.wpsstatic.com/images/full/9be0-572a52f767886.jpg")</f>
        <v>http://cdn.wpsstatic.com/images/full/9be0-572a52f767886.jpg</v>
      </c>
      <c r="B1580" s="5" t="s">
        <v>1580</v>
      </c>
    </row>
    <row r="1581" spans="1:2" x14ac:dyDescent="0.2">
      <c r="A1581" s="4" t="str">
        <f>HYPERLINK("http://cdn.wpsstatic.com/images/full/9be0-572a52f767886.jpg", "http://cdn.wpsstatic.com/images/full/9be0-572a52f767886.jpg")</f>
        <v>http://cdn.wpsstatic.com/images/full/9be0-572a52f767886.jpg</v>
      </c>
      <c r="B1581" s="5" t="s">
        <v>1581</v>
      </c>
    </row>
    <row r="1582" spans="1:2" x14ac:dyDescent="0.2">
      <c r="A1582" s="4" t="str">
        <f>HYPERLINK("http://cdn.wpsstatic.com/images/full/9be0-572a52f767886.jpg", "http://cdn.wpsstatic.com/images/full/9be0-572a52f767886.jpg")</f>
        <v>http://cdn.wpsstatic.com/images/full/9be0-572a52f767886.jpg</v>
      </c>
      <c r="B1582" s="5" t="s">
        <v>1582</v>
      </c>
    </row>
    <row r="1583" spans="1:2" x14ac:dyDescent="0.2">
      <c r="A1583" s="4" t="str">
        <f>HYPERLINK("http://cdn.wpsstatic.com/images/full/9be0-572a52f767886.jpg", "http://cdn.wpsstatic.com/images/full/9be0-572a52f767886.jpg")</f>
        <v>http://cdn.wpsstatic.com/images/full/9be0-572a52f767886.jpg</v>
      </c>
      <c r="B1583" s="5" t="s">
        <v>1583</v>
      </c>
    </row>
    <row r="1584" spans="1:2" x14ac:dyDescent="0.2">
      <c r="A1584" s="4" t="str">
        <f>HYPERLINK("http://cdn.wpsstatic.com/images/full/9be0-572a52f767886.jpg", "http://cdn.wpsstatic.com/images/full/9be0-572a52f767886.jpg")</f>
        <v>http://cdn.wpsstatic.com/images/full/9be0-572a52f767886.jpg</v>
      </c>
      <c r="B1584" s="5" t="s">
        <v>1584</v>
      </c>
    </row>
    <row r="1585" spans="1:2" x14ac:dyDescent="0.2">
      <c r="A1585" s="4" t="str">
        <f>HYPERLINK("http://cdn.wpsstatic.com/images/full/9be0-572a52f767886.jpg", "http://cdn.wpsstatic.com/images/full/9be0-572a52f767886.jpg")</f>
        <v>http://cdn.wpsstatic.com/images/full/9be0-572a52f767886.jpg</v>
      </c>
      <c r="B1585" s="5" t="s">
        <v>1585</v>
      </c>
    </row>
    <row r="1586" spans="1:2" x14ac:dyDescent="0.2">
      <c r="A1586" s="4" t="str">
        <f>HYPERLINK("http://cdn.wpsstatic.com/images/full/9be0-572a52f767886.jpg", "http://cdn.wpsstatic.com/images/full/9be0-572a52f767886.jpg")</f>
        <v>http://cdn.wpsstatic.com/images/full/9be0-572a52f767886.jpg</v>
      </c>
      <c r="B1586" s="5" t="s">
        <v>1586</v>
      </c>
    </row>
    <row r="1587" spans="1:2" x14ac:dyDescent="0.2">
      <c r="A1587" s="4" t="str">
        <f>HYPERLINK("http://cdn.wpsstatic.com/images/full/9be0-572a52f767886.jpg", "http://cdn.wpsstatic.com/images/full/9be0-572a52f767886.jpg")</f>
        <v>http://cdn.wpsstatic.com/images/full/9be0-572a52f767886.jpg</v>
      </c>
      <c r="B1587" s="5" t="s">
        <v>1587</v>
      </c>
    </row>
    <row r="1588" spans="1:2" x14ac:dyDescent="0.2">
      <c r="A1588" s="4" t="str">
        <f>HYPERLINK("http://cdn.wpsstatic.com/images/full/9be0-572a52f767886.jpg", "http://cdn.wpsstatic.com/images/full/9be0-572a52f767886.jpg")</f>
        <v>http://cdn.wpsstatic.com/images/full/9be0-572a52f767886.jpg</v>
      </c>
      <c r="B1588" s="5" t="s">
        <v>1588</v>
      </c>
    </row>
    <row r="1589" spans="1:2" x14ac:dyDescent="0.2">
      <c r="A1589" s="4" t="str">
        <f>HYPERLINK("http://cdn.wpsstatic.com/images/full/9be0-572a52f767886.jpg", "http://cdn.wpsstatic.com/images/full/9be0-572a52f767886.jpg")</f>
        <v>http://cdn.wpsstatic.com/images/full/9be0-572a52f767886.jpg</v>
      </c>
      <c r="B1589" s="5" t="s">
        <v>1589</v>
      </c>
    </row>
    <row r="1590" spans="1:2" x14ac:dyDescent="0.2">
      <c r="A1590" s="4" t="str">
        <f>HYPERLINK("http://cdn.wpsstatic.com/images/full/9be0-572a52f767886.jpg", "http://cdn.wpsstatic.com/images/full/9be0-572a52f767886.jpg")</f>
        <v>http://cdn.wpsstatic.com/images/full/9be0-572a52f767886.jpg</v>
      </c>
      <c r="B1590" s="5" t="s">
        <v>1590</v>
      </c>
    </row>
    <row r="1591" spans="1:2" x14ac:dyDescent="0.2">
      <c r="A1591" s="4" t="str">
        <f>HYPERLINK("http://cdn.wpsstatic.com/images/full/9be0-572a52f767886.jpg", "http://cdn.wpsstatic.com/images/full/9be0-572a52f767886.jpg")</f>
        <v>http://cdn.wpsstatic.com/images/full/9be0-572a52f767886.jpg</v>
      </c>
      <c r="B1591" s="5" t="s">
        <v>1591</v>
      </c>
    </row>
    <row r="1592" spans="1:2" x14ac:dyDescent="0.2">
      <c r="A1592" s="4" t="str">
        <f>HYPERLINK("http://cdn.wpsstatic.com/images/full/9be0-572a52f767886.jpg", "http://cdn.wpsstatic.com/images/full/9be0-572a52f767886.jpg")</f>
        <v>http://cdn.wpsstatic.com/images/full/9be0-572a52f767886.jpg</v>
      </c>
      <c r="B1592" s="5" t="s">
        <v>1592</v>
      </c>
    </row>
    <row r="1593" spans="1:2" x14ac:dyDescent="0.2">
      <c r="A1593" s="4" t="str">
        <f>HYPERLINK("http://cdn.wpsstatic.com/images/full/9be0-572a52f767886.jpg", "http://cdn.wpsstatic.com/images/full/9be0-572a52f767886.jpg")</f>
        <v>http://cdn.wpsstatic.com/images/full/9be0-572a52f767886.jpg</v>
      </c>
      <c r="B1593" s="5" t="s">
        <v>1593</v>
      </c>
    </row>
    <row r="1594" spans="1:2" x14ac:dyDescent="0.2">
      <c r="A1594" s="4" t="str">
        <f>HYPERLINK("http://cdn.wpsstatic.com/images/full/9be0-572a52f767886.jpg", "http://cdn.wpsstatic.com/images/full/9be0-572a52f767886.jpg")</f>
        <v>http://cdn.wpsstatic.com/images/full/9be0-572a52f767886.jpg</v>
      </c>
      <c r="B1594" s="5" t="s">
        <v>1594</v>
      </c>
    </row>
    <row r="1595" spans="1:2" x14ac:dyDescent="0.2">
      <c r="A1595" s="4" t="str">
        <f>HYPERLINK("http://cdn.wpsstatic.com/images/full/9be0-572a52f767886.jpg", "http://cdn.wpsstatic.com/images/full/9be0-572a52f767886.jpg")</f>
        <v>http://cdn.wpsstatic.com/images/full/9be0-572a52f767886.jpg</v>
      </c>
      <c r="B1595" s="5" t="s">
        <v>1595</v>
      </c>
    </row>
    <row r="1596" spans="1:2" x14ac:dyDescent="0.2">
      <c r="A1596" s="4" t="str">
        <f>HYPERLINK("http://cdn.wpsstatic.com/images/full/9be0-572a52f767886.jpg", "http://cdn.wpsstatic.com/images/full/9be0-572a52f767886.jpg")</f>
        <v>http://cdn.wpsstatic.com/images/full/9be0-572a52f767886.jpg</v>
      </c>
      <c r="B1596" s="5" t="s">
        <v>1596</v>
      </c>
    </row>
    <row r="1597" spans="1:2" x14ac:dyDescent="0.2">
      <c r="A1597" s="4" t="str">
        <f>HYPERLINK("http://cdn.wpsstatic.com/images/full/9be0-572a52f767886.jpg", "http://cdn.wpsstatic.com/images/full/9be0-572a52f767886.jpg")</f>
        <v>http://cdn.wpsstatic.com/images/full/9be0-572a52f767886.jpg</v>
      </c>
      <c r="B1597" s="5" t="s">
        <v>1597</v>
      </c>
    </row>
    <row r="1598" spans="1:2" x14ac:dyDescent="0.2">
      <c r="A1598" s="4" t="str">
        <f>HYPERLINK("http://cdn.wpsstatic.com/images/full/9be0-572a52f767886.jpg", "http://cdn.wpsstatic.com/images/full/9be0-572a52f767886.jpg")</f>
        <v>http://cdn.wpsstatic.com/images/full/9be0-572a52f767886.jpg</v>
      </c>
      <c r="B1598" s="5" t="s">
        <v>1598</v>
      </c>
    </row>
    <row r="1599" spans="1:2" x14ac:dyDescent="0.2">
      <c r="A1599" s="4" t="str">
        <f>HYPERLINK("http://cdn.wpsstatic.com/images/full/9be0-572a52f767886.jpg", "http://cdn.wpsstatic.com/images/full/9be0-572a52f767886.jpg")</f>
        <v>http://cdn.wpsstatic.com/images/full/9be0-572a52f767886.jpg</v>
      </c>
      <c r="B1599" s="5" t="s">
        <v>1599</v>
      </c>
    </row>
    <row r="1600" spans="1:2" x14ac:dyDescent="0.2">
      <c r="A1600" s="4" t="str">
        <f>HYPERLINK("http://cdn.wpsstatic.com/images/full/9be0-572a52f767886.jpg", "http://cdn.wpsstatic.com/images/full/9be0-572a52f767886.jpg")</f>
        <v>http://cdn.wpsstatic.com/images/full/9be0-572a52f767886.jpg</v>
      </c>
      <c r="B1600" s="5" t="s">
        <v>1600</v>
      </c>
    </row>
    <row r="1601" spans="1:2" x14ac:dyDescent="0.2">
      <c r="A1601" s="4" t="str">
        <f>HYPERLINK("http://cdn.wpsstatic.com/images/full/9be0-572a52f767886.jpg", "http://cdn.wpsstatic.com/images/full/9be0-572a52f767886.jpg")</f>
        <v>http://cdn.wpsstatic.com/images/full/9be0-572a52f767886.jpg</v>
      </c>
      <c r="B1601" s="5" t="s">
        <v>1601</v>
      </c>
    </row>
    <row r="1602" spans="1:2" x14ac:dyDescent="0.2">
      <c r="A1602" s="4" t="str">
        <f>HYPERLINK("http://cdn.wpsstatic.com/images/full/9be0-572a52f767886.jpg", "http://cdn.wpsstatic.com/images/full/9be0-572a52f767886.jpg")</f>
        <v>http://cdn.wpsstatic.com/images/full/9be0-572a52f767886.jpg</v>
      </c>
      <c r="B1602" s="5" t="s">
        <v>1602</v>
      </c>
    </row>
    <row r="1603" spans="1:2" x14ac:dyDescent="0.2">
      <c r="A1603" s="4" t="str">
        <f>HYPERLINK("http://cdn.wpsstatic.com/images/full/9be0-572a52f767886.jpg", "http://cdn.wpsstatic.com/images/full/9be0-572a52f767886.jpg")</f>
        <v>http://cdn.wpsstatic.com/images/full/9be0-572a52f767886.jpg</v>
      </c>
      <c r="B1603" s="5" t="s">
        <v>1603</v>
      </c>
    </row>
    <row r="1604" spans="1:2" x14ac:dyDescent="0.2">
      <c r="A1604" s="4" t="str">
        <f>HYPERLINK("http://cdn.wpsstatic.com/images/full/9be0-572a52f767886.jpg", "http://cdn.wpsstatic.com/images/full/9be0-572a52f767886.jpg")</f>
        <v>http://cdn.wpsstatic.com/images/full/9be0-572a52f767886.jpg</v>
      </c>
      <c r="B1604" s="5" t="s">
        <v>1604</v>
      </c>
    </row>
    <row r="1605" spans="1:2" x14ac:dyDescent="0.2">
      <c r="A1605" s="4" t="str">
        <f>HYPERLINK("http://cdn.wpsstatic.com/images/full/9be0-572a52f767886.jpg", "http://cdn.wpsstatic.com/images/full/9be0-572a52f767886.jpg")</f>
        <v>http://cdn.wpsstatic.com/images/full/9be0-572a52f767886.jpg</v>
      </c>
      <c r="B1605" s="5" t="s">
        <v>1605</v>
      </c>
    </row>
    <row r="1606" spans="1:2" x14ac:dyDescent="0.2">
      <c r="A1606" s="4" t="str">
        <f>HYPERLINK("http://cdn.wpsstatic.com/images/full/9be0-572a52f767886.jpg", "http://cdn.wpsstatic.com/images/full/9be0-572a52f767886.jpg")</f>
        <v>http://cdn.wpsstatic.com/images/full/9be0-572a52f767886.jpg</v>
      </c>
      <c r="B1606" s="5" t="s">
        <v>1606</v>
      </c>
    </row>
    <row r="1607" spans="1:2" x14ac:dyDescent="0.2">
      <c r="A1607" s="4" t="str">
        <f>HYPERLINK("http://cdn.wpsstatic.com/images/full/9be0-572a52f767886.jpg", "http://cdn.wpsstatic.com/images/full/9be0-572a52f767886.jpg")</f>
        <v>http://cdn.wpsstatic.com/images/full/9be0-572a52f767886.jpg</v>
      </c>
      <c r="B1607" s="5" t="s">
        <v>1607</v>
      </c>
    </row>
    <row r="1608" spans="1:2" x14ac:dyDescent="0.2">
      <c r="A1608" s="4" t="str">
        <f>HYPERLINK("http://cdn.wpsstatic.com/images/full/9be0-572a52f767886.jpg", "http://cdn.wpsstatic.com/images/full/9be0-572a52f767886.jpg")</f>
        <v>http://cdn.wpsstatic.com/images/full/9be0-572a52f767886.jpg</v>
      </c>
      <c r="B1608" s="5" t="s">
        <v>1608</v>
      </c>
    </row>
    <row r="1609" spans="1:2" x14ac:dyDescent="0.2">
      <c r="A1609" s="4" t="str">
        <f>HYPERLINK("http://cdn.wpsstatic.com/images/full/9be0-572a52f767886.jpg", "http://cdn.wpsstatic.com/images/full/9be0-572a52f767886.jpg")</f>
        <v>http://cdn.wpsstatic.com/images/full/9be0-572a52f767886.jpg</v>
      </c>
      <c r="B1609" s="5" t="s">
        <v>1609</v>
      </c>
    </row>
    <row r="1610" spans="1:2" x14ac:dyDescent="0.2">
      <c r="A1610" s="4" t="str">
        <f>HYPERLINK("http://cdn.wpsstatic.com/images/full/9be0-572a52f767886.jpg", "http://cdn.wpsstatic.com/images/full/9be0-572a52f767886.jpg")</f>
        <v>http://cdn.wpsstatic.com/images/full/9be0-572a52f767886.jpg</v>
      </c>
      <c r="B1610" s="5" t="s">
        <v>1610</v>
      </c>
    </row>
    <row r="1611" spans="1:2" x14ac:dyDescent="0.2">
      <c r="A1611" s="4" t="str">
        <f>HYPERLINK("http://cdn.wpsstatic.com/images/full/9be0-572a52f767886.jpg", "http://cdn.wpsstatic.com/images/full/9be0-572a52f767886.jpg")</f>
        <v>http://cdn.wpsstatic.com/images/full/9be0-572a52f767886.jpg</v>
      </c>
      <c r="B1611" s="5" t="s">
        <v>1611</v>
      </c>
    </row>
    <row r="1612" spans="1:2" x14ac:dyDescent="0.2">
      <c r="A1612" s="4" t="str">
        <f>HYPERLINK("http://cdn.wpsstatic.com/images/full/9be0-572a52f767886.jpg", "http://cdn.wpsstatic.com/images/full/9be0-572a52f767886.jpg")</f>
        <v>http://cdn.wpsstatic.com/images/full/9be0-572a52f767886.jpg</v>
      </c>
      <c r="B1612" s="5" t="s">
        <v>1612</v>
      </c>
    </row>
    <row r="1613" spans="1:2" x14ac:dyDescent="0.2">
      <c r="A1613" s="4" t="str">
        <f>HYPERLINK("http://cdn.wpsstatic.com/images/full/9be0-572a52f767886.jpg", "http://cdn.wpsstatic.com/images/full/9be0-572a52f767886.jpg")</f>
        <v>http://cdn.wpsstatic.com/images/full/9be0-572a52f767886.jpg</v>
      </c>
      <c r="B1613" s="5" t="s">
        <v>1613</v>
      </c>
    </row>
    <row r="1614" spans="1:2" x14ac:dyDescent="0.2">
      <c r="A1614" s="4" t="str">
        <f>HYPERLINK("http://cdn.wpsstatic.com/images/full/9be0-572a52f767886.jpg", "http://cdn.wpsstatic.com/images/full/9be0-572a52f767886.jpg")</f>
        <v>http://cdn.wpsstatic.com/images/full/9be0-572a52f767886.jpg</v>
      </c>
      <c r="B1614" s="5" t="s">
        <v>1614</v>
      </c>
    </row>
    <row r="1615" spans="1:2" x14ac:dyDescent="0.2">
      <c r="A1615" s="4" t="str">
        <f>HYPERLINK("http://cdn.wpsstatic.com/images/full/9be0-572a52f767886.jpg", "http://cdn.wpsstatic.com/images/full/9be0-572a52f767886.jpg")</f>
        <v>http://cdn.wpsstatic.com/images/full/9be0-572a52f767886.jpg</v>
      </c>
      <c r="B1615" s="5" t="s">
        <v>1615</v>
      </c>
    </row>
    <row r="1616" spans="1:2" x14ac:dyDescent="0.2">
      <c r="A1616" s="4" t="str">
        <f>HYPERLINK("http://cdn.wpsstatic.com/images/full/9be0-572a52f767886.jpg", "http://cdn.wpsstatic.com/images/full/9be0-572a52f767886.jpg")</f>
        <v>http://cdn.wpsstatic.com/images/full/9be0-572a52f767886.jpg</v>
      </c>
      <c r="B1616" s="5" t="s">
        <v>1616</v>
      </c>
    </row>
    <row r="1617" spans="1:2" x14ac:dyDescent="0.2">
      <c r="A1617" s="4" t="str">
        <f>HYPERLINK("http://cdn.wpsstatic.com/images/full/9be0-572a52f767886.jpg", "http://cdn.wpsstatic.com/images/full/9be0-572a52f767886.jpg")</f>
        <v>http://cdn.wpsstatic.com/images/full/9be0-572a52f767886.jpg</v>
      </c>
      <c r="B1617" s="5" t="s">
        <v>1617</v>
      </c>
    </row>
    <row r="1618" spans="1:2" x14ac:dyDescent="0.2">
      <c r="A1618" s="4" t="str">
        <f>HYPERLINK("http://cdn.wpsstatic.com/images/full/9be0-572a52f767886.jpg", "http://cdn.wpsstatic.com/images/full/9be0-572a52f767886.jpg")</f>
        <v>http://cdn.wpsstatic.com/images/full/9be0-572a52f767886.jpg</v>
      </c>
      <c r="B1618" s="5" t="s">
        <v>1618</v>
      </c>
    </row>
    <row r="1619" spans="1:2" x14ac:dyDescent="0.2">
      <c r="A1619" s="4" t="str">
        <f>HYPERLINK("http://cdn.wpsstatic.com/images/full/9be0-572a52f767886.jpg", "http://cdn.wpsstatic.com/images/full/9be0-572a52f767886.jpg")</f>
        <v>http://cdn.wpsstatic.com/images/full/9be0-572a52f767886.jpg</v>
      </c>
      <c r="B1619" s="5" t="s">
        <v>1619</v>
      </c>
    </row>
    <row r="1620" spans="1:2" x14ac:dyDescent="0.2">
      <c r="A1620" s="4" t="str">
        <f>HYPERLINK("http://cdn.wpsstatic.com/images/full/9be0-572a52f767886.jpg", "http://cdn.wpsstatic.com/images/full/9be0-572a52f767886.jpg")</f>
        <v>http://cdn.wpsstatic.com/images/full/9be0-572a52f767886.jpg</v>
      </c>
      <c r="B1620" s="5" t="s">
        <v>1620</v>
      </c>
    </row>
    <row r="1621" spans="1:2" x14ac:dyDescent="0.2">
      <c r="A1621" s="4" t="str">
        <f>HYPERLINK("http://cdn.wpsstatic.com/images/full/9be0-572a52f767886.jpg", "http://cdn.wpsstatic.com/images/full/9be0-572a52f767886.jpg")</f>
        <v>http://cdn.wpsstatic.com/images/full/9be0-572a52f767886.jpg</v>
      </c>
      <c r="B1621" s="5" t="s">
        <v>1621</v>
      </c>
    </row>
    <row r="1622" spans="1:2" x14ac:dyDescent="0.2">
      <c r="A1622" s="4" t="str">
        <f>HYPERLINK("http://cdn.wpsstatic.com/images/full/9be0-572a52f767886.jpg", "http://cdn.wpsstatic.com/images/full/9be0-572a52f767886.jpg")</f>
        <v>http://cdn.wpsstatic.com/images/full/9be0-572a52f767886.jpg</v>
      </c>
      <c r="B1622" s="5" t="s">
        <v>1622</v>
      </c>
    </row>
    <row r="1623" spans="1:2" x14ac:dyDescent="0.2">
      <c r="A1623" s="4" t="str">
        <f>HYPERLINK("http://cdn.wpsstatic.com/images/full/9be0-572a52f767886.jpg", "http://cdn.wpsstatic.com/images/full/9be0-572a52f767886.jpg")</f>
        <v>http://cdn.wpsstatic.com/images/full/9be0-572a52f767886.jpg</v>
      </c>
      <c r="B1623" s="5" t="s">
        <v>1623</v>
      </c>
    </row>
    <row r="1624" spans="1:2" x14ac:dyDescent="0.2">
      <c r="A1624" s="4" t="str">
        <f>HYPERLINK("http://cdn.wpsstatic.com/images/full/9be0-572a52f767886.jpg", "http://cdn.wpsstatic.com/images/full/9be0-572a52f767886.jpg")</f>
        <v>http://cdn.wpsstatic.com/images/full/9be0-572a52f767886.jpg</v>
      </c>
      <c r="B1624" s="5" t="s">
        <v>1624</v>
      </c>
    </row>
    <row r="1625" spans="1:2" x14ac:dyDescent="0.2">
      <c r="A1625" s="4" t="str">
        <f>HYPERLINK("http://cdn.wpsstatic.com/images/full/9be0-572a52f767886.jpg", "http://cdn.wpsstatic.com/images/full/9be0-572a52f767886.jpg")</f>
        <v>http://cdn.wpsstatic.com/images/full/9be0-572a52f767886.jpg</v>
      </c>
      <c r="B1625" s="5" t="s">
        <v>1625</v>
      </c>
    </row>
    <row r="1626" spans="1:2" x14ac:dyDescent="0.2">
      <c r="A1626" s="4" t="str">
        <f>HYPERLINK("http://cdn.wpsstatic.com/images/full/9be0-572a52f767886.jpg", "http://cdn.wpsstatic.com/images/full/9be0-572a52f767886.jpg")</f>
        <v>http://cdn.wpsstatic.com/images/full/9be0-572a52f767886.jpg</v>
      </c>
      <c r="B1626" s="5" t="s">
        <v>1626</v>
      </c>
    </row>
    <row r="1627" spans="1:2" x14ac:dyDescent="0.2">
      <c r="A1627" s="4" t="str">
        <f>HYPERLINK("http://cdn.wpsstatic.com/images/full/9be0-572a52f767886.jpg", "http://cdn.wpsstatic.com/images/full/9be0-572a52f767886.jpg")</f>
        <v>http://cdn.wpsstatic.com/images/full/9be0-572a52f767886.jpg</v>
      </c>
      <c r="B1627" s="5" t="s">
        <v>1627</v>
      </c>
    </row>
    <row r="1628" spans="1:2" x14ac:dyDescent="0.2">
      <c r="A1628" s="4" t="str">
        <f>HYPERLINK("http://cdn.wpsstatic.com/images/full/9be0-572a52f767886.jpg", "http://cdn.wpsstatic.com/images/full/9be0-572a52f767886.jpg")</f>
        <v>http://cdn.wpsstatic.com/images/full/9be0-572a52f767886.jpg</v>
      </c>
      <c r="B1628" s="5" t="s">
        <v>1628</v>
      </c>
    </row>
    <row r="1629" spans="1:2" x14ac:dyDescent="0.2">
      <c r="A1629" s="4" t="str">
        <f>HYPERLINK("http://cdn.wpsstatic.com/images/full/9be0-572a52f767886.jpg", "http://cdn.wpsstatic.com/images/full/9be0-572a52f767886.jpg")</f>
        <v>http://cdn.wpsstatic.com/images/full/9be0-572a52f767886.jpg</v>
      </c>
      <c r="B1629" s="5" t="s">
        <v>1629</v>
      </c>
    </row>
    <row r="1630" spans="1:2" x14ac:dyDescent="0.2">
      <c r="A1630" s="4" t="str">
        <f>HYPERLINK("http://cdn.wpsstatic.com/images/full/9be0-572a52f767886.jpg", "http://cdn.wpsstatic.com/images/full/9be0-572a52f767886.jpg")</f>
        <v>http://cdn.wpsstatic.com/images/full/9be0-572a52f767886.jpg</v>
      </c>
      <c r="B1630" s="5" t="s">
        <v>1630</v>
      </c>
    </row>
    <row r="1631" spans="1:2" x14ac:dyDescent="0.2">
      <c r="A1631" s="4" t="str">
        <f>HYPERLINK("http://cdn.wpsstatic.com/images/full/9be0-572a52f767886.jpg", "http://cdn.wpsstatic.com/images/full/9be0-572a52f767886.jpg")</f>
        <v>http://cdn.wpsstatic.com/images/full/9be0-572a52f767886.jpg</v>
      </c>
      <c r="B1631" s="5" t="s">
        <v>1631</v>
      </c>
    </row>
    <row r="1632" spans="1:2" x14ac:dyDescent="0.2">
      <c r="A1632" s="4" t="str">
        <f>HYPERLINK("http://cdn.wpsstatic.com/images/full/9be0-572a52f767886.jpg", "http://cdn.wpsstatic.com/images/full/9be0-572a52f767886.jpg")</f>
        <v>http://cdn.wpsstatic.com/images/full/9be0-572a52f767886.jpg</v>
      </c>
      <c r="B1632" s="5" t="s">
        <v>1632</v>
      </c>
    </row>
    <row r="1633" spans="1:2" x14ac:dyDescent="0.2">
      <c r="A1633" s="4" t="str">
        <f>HYPERLINK("http://cdn.wpsstatic.com/images/full/9be0-572a52f767886.jpg", "http://cdn.wpsstatic.com/images/full/9be0-572a52f767886.jpg")</f>
        <v>http://cdn.wpsstatic.com/images/full/9be0-572a52f767886.jpg</v>
      </c>
      <c r="B1633" s="5" t="s">
        <v>1633</v>
      </c>
    </row>
    <row r="1634" spans="1:2" x14ac:dyDescent="0.2">
      <c r="A1634" s="4" t="str">
        <f>HYPERLINK("http://cdn.wpsstatic.com/images/full/9be0-572a52f767886.jpg", "http://cdn.wpsstatic.com/images/full/9be0-572a52f767886.jpg")</f>
        <v>http://cdn.wpsstatic.com/images/full/9be0-572a52f767886.jpg</v>
      </c>
      <c r="B1634" s="5" t="s">
        <v>1634</v>
      </c>
    </row>
    <row r="1635" spans="1:2" x14ac:dyDescent="0.2">
      <c r="A1635" s="4" t="str">
        <f>HYPERLINK("http://cdn.wpsstatic.com/images/full/9be0-572a52f767886.jpg", "http://cdn.wpsstatic.com/images/full/9be0-572a52f767886.jpg")</f>
        <v>http://cdn.wpsstatic.com/images/full/9be0-572a52f767886.jpg</v>
      </c>
      <c r="B1635" s="5" t="s">
        <v>1635</v>
      </c>
    </row>
    <row r="1636" spans="1:2" x14ac:dyDescent="0.2">
      <c r="A1636" s="4" t="str">
        <f>HYPERLINK("http://cdn.wpsstatic.com/images/full/9be0-572a52f767886.jpg", "http://cdn.wpsstatic.com/images/full/9be0-572a52f767886.jpg")</f>
        <v>http://cdn.wpsstatic.com/images/full/9be0-572a52f767886.jpg</v>
      </c>
      <c r="B1636" s="5" t="s">
        <v>1636</v>
      </c>
    </row>
    <row r="1637" spans="1:2" x14ac:dyDescent="0.2">
      <c r="A1637" s="4" t="str">
        <f>HYPERLINK("http://cdn.wpsstatic.com/images/full/9be0-572a52f767886.jpg", "http://cdn.wpsstatic.com/images/full/9be0-572a52f767886.jpg")</f>
        <v>http://cdn.wpsstatic.com/images/full/9be0-572a52f767886.jpg</v>
      </c>
      <c r="B1637" s="5" t="s">
        <v>1637</v>
      </c>
    </row>
    <row r="1638" spans="1:2" x14ac:dyDescent="0.2">
      <c r="A1638" s="4" t="str">
        <f>HYPERLINK("http://cdn.wpsstatic.com/images/full/9be0-572a52f767886.jpg", "http://cdn.wpsstatic.com/images/full/9be0-572a52f767886.jpg")</f>
        <v>http://cdn.wpsstatic.com/images/full/9be0-572a52f767886.jpg</v>
      </c>
      <c r="B1638" s="5" t="s">
        <v>1638</v>
      </c>
    </row>
    <row r="1639" spans="1:2" x14ac:dyDescent="0.2">
      <c r="A1639" s="4" t="str">
        <f>HYPERLINK("http://cdn.wpsstatic.com/images/full/9be0-572a52f767886.jpg", "http://cdn.wpsstatic.com/images/full/9be0-572a52f767886.jpg")</f>
        <v>http://cdn.wpsstatic.com/images/full/9be0-572a52f767886.jpg</v>
      </c>
      <c r="B1639" s="5" t="s">
        <v>1639</v>
      </c>
    </row>
    <row r="1640" spans="1:2" x14ac:dyDescent="0.2">
      <c r="A1640" s="4" t="str">
        <f>HYPERLINK("http://cdn.wpsstatic.com/images/full/9be0-572a52f767886.jpg", "http://cdn.wpsstatic.com/images/full/9be0-572a52f767886.jpg")</f>
        <v>http://cdn.wpsstatic.com/images/full/9be0-572a52f767886.jpg</v>
      </c>
      <c r="B1640" s="5" t="s">
        <v>1640</v>
      </c>
    </row>
    <row r="1641" spans="1:2" x14ac:dyDescent="0.2">
      <c r="A1641" s="4" t="str">
        <f>HYPERLINK("http://cdn.wpsstatic.com/images/full/9be0-572a52f767886.jpg", "http://cdn.wpsstatic.com/images/full/9be0-572a52f767886.jpg")</f>
        <v>http://cdn.wpsstatic.com/images/full/9be0-572a52f767886.jpg</v>
      </c>
      <c r="B1641" s="5" t="s">
        <v>1641</v>
      </c>
    </row>
    <row r="1642" spans="1:2" x14ac:dyDescent="0.2">
      <c r="A1642" s="4" t="str">
        <f>HYPERLINK("http://cdn.wpsstatic.com/images/full/9be0-572a52f767886.jpg", "http://cdn.wpsstatic.com/images/full/9be0-572a52f767886.jpg")</f>
        <v>http://cdn.wpsstatic.com/images/full/9be0-572a52f767886.jpg</v>
      </c>
      <c r="B1642" s="5" t="s">
        <v>1642</v>
      </c>
    </row>
    <row r="1643" spans="1:2" x14ac:dyDescent="0.2">
      <c r="A1643" s="4" t="str">
        <f>HYPERLINK("http://cdn.wpsstatic.com/images/full/9be0-572a52f767886.jpg", "http://cdn.wpsstatic.com/images/full/9be0-572a52f767886.jpg")</f>
        <v>http://cdn.wpsstatic.com/images/full/9be0-572a52f767886.jpg</v>
      </c>
      <c r="B1643" s="5" t="s">
        <v>1643</v>
      </c>
    </row>
    <row r="1644" spans="1:2" x14ac:dyDescent="0.2">
      <c r="A1644" s="4" t="str">
        <f>HYPERLINK("http://cdn.wpsstatic.com/images/full/9be0-572a52f767886.jpg", "http://cdn.wpsstatic.com/images/full/9be0-572a52f767886.jpg")</f>
        <v>http://cdn.wpsstatic.com/images/full/9be0-572a52f767886.jpg</v>
      </c>
      <c r="B1644" s="5" t="s">
        <v>1644</v>
      </c>
    </row>
    <row r="1645" spans="1:2" x14ac:dyDescent="0.2">
      <c r="A1645" s="4" t="str">
        <f>HYPERLINK("http://cdn.wpsstatic.com/images/full/9be0-572a52f767886.jpg", "http://cdn.wpsstatic.com/images/full/9be0-572a52f767886.jpg")</f>
        <v>http://cdn.wpsstatic.com/images/full/9be0-572a52f767886.jpg</v>
      </c>
      <c r="B1645" s="5" t="s">
        <v>1645</v>
      </c>
    </row>
    <row r="1646" spans="1:2" x14ac:dyDescent="0.2">
      <c r="A1646" s="4" t="str">
        <f>HYPERLINK("http://cdn.wpsstatic.com/images/full/9be0-572a52f767886.jpg", "http://cdn.wpsstatic.com/images/full/9be0-572a52f767886.jpg")</f>
        <v>http://cdn.wpsstatic.com/images/full/9be0-572a52f767886.jpg</v>
      </c>
      <c r="B1646" s="5" t="s">
        <v>1646</v>
      </c>
    </row>
    <row r="1647" spans="1:2" x14ac:dyDescent="0.2">
      <c r="A1647" s="4" t="str">
        <f>HYPERLINK("http://cdn.wpsstatic.com/images/full/9be0-572a52f767886.jpg", "http://cdn.wpsstatic.com/images/full/9be0-572a52f767886.jpg")</f>
        <v>http://cdn.wpsstatic.com/images/full/9be0-572a52f767886.jpg</v>
      </c>
      <c r="B1647" s="5" t="s">
        <v>1647</v>
      </c>
    </row>
    <row r="1648" spans="1:2" x14ac:dyDescent="0.2">
      <c r="A1648" s="4" t="str">
        <f>HYPERLINK("http://cdn.wpsstatic.com/images/full/9be0-572a52f767886.jpg", "http://cdn.wpsstatic.com/images/full/9be0-572a52f767886.jpg")</f>
        <v>http://cdn.wpsstatic.com/images/full/9be0-572a52f767886.jpg</v>
      </c>
      <c r="B1648" s="5" t="s">
        <v>1648</v>
      </c>
    </row>
    <row r="1649" spans="1:2" x14ac:dyDescent="0.2">
      <c r="A1649" s="4" t="str">
        <f>HYPERLINK("http://cdn.wpsstatic.com/images/full/9be0-572a52f767886.jpg", "http://cdn.wpsstatic.com/images/full/9be0-572a52f767886.jpg")</f>
        <v>http://cdn.wpsstatic.com/images/full/9be0-572a52f767886.jpg</v>
      </c>
      <c r="B1649" s="5" t="s">
        <v>1649</v>
      </c>
    </row>
    <row r="1650" spans="1:2" x14ac:dyDescent="0.2">
      <c r="A1650" s="4" t="str">
        <f>HYPERLINK("http://cdn.wpsstatic.com/images/full/9be0-572a52f767886.jpg", "http://cdn.wpsstatic.com/images/full/9be0-572a52f767886.jpg")</f>
        <v>http://cdn.wpsstatic.com/images/full/9be0-572a52f767886.jpg</v>
      </c>
      <c r="B1650" s="5" t="s">
        <v>1650</v>
      </c>
    </row>
    <row r="1651" spans="1:2" x14ac:dyDescent="0.2">
      <c r="A1651" s="4" t="str">
        <f>HYPERLINK("http://cdn.wpsstatic.com/images/full/9be0-572a52f767886.jpg", "http://cdn.wpsstatic.com/images/full/9be0-572a52f767886.jpg")</f>
        <v>http://cdn.wpsstatic.com/images/full/9be0-572a52f767886.jpg</v>
      </c>
      <c r="B1651" s="5" t="s">
        <v>1651</v>
      </c>
    </row>
    <row r="1652" spans="1:2" x14ac:dyDescent="0.2">
      <c r="A1652" s="4" t="str">
        <f>HYPERLINK("http://cdn.wpsstatic.com/images/full/9be0-572a52f767886.jpg", "http://cdn.wpsstatic.com/images/full/9be0-572a52f767886.jpg")</f>
        <v>http://cdn.wpsstatic.com/images/full/9be0-572a52f767886.jpg</v>
      </c>
      <c r="B1652" s="5" t="s">
        <v>1652</v>
      </c>
    </row>
    <row r="1653" spans="1:2" x14ac:dyDescent="0.2">
      <c r="A1653" s="4" t="str">
        <f>HYPERLINK("http://cdn.wpsstatic.com/images/full/9be0-572a52f767886.jpg", "http://cdn.wpsstatic.com/images/full/9be0-572a52f767886.jpg")</f>
        <v>http://cdn.wpsstatic.com/images/full/9be0-572a52f767886.jpg</v>
      </c>
      <c r="B1653" s="5" t="s">
        <v>1653</v>
      </c>
    </row>
    <row r="1654" spans="1:2" x14ac:dyDescent="0.2">
      <c r="A1654" s="4" t="str">
        <f>HYPERLINK("http://cdn.wpsstatic.com/images/full/9be0-572a52f767886.jpg", "http://cdn.wpsstatic.com/images/full/9be0-572a52f767886.jpg")</f>
        <v>http://cdn.wpsstatic.com/images/full/9be0-572a52f767886.jpg</v>
      </c>
      <c r="B1654" s="5" t="s">
        <v>1654</v>
      </c>
    </row>
    <row r="1655" spans="1:2" x14ac:dyDescent="0.2">
      <c r="A1655" s="4" t="str">
        <f>HYPERLINK("http://cdn.wpsstatic.com/images/full/9be0-572a52f767886.jpg", "http://cdn.wpsstatic.com/images/full/9be0-572a52f767886.jpg")</f>
        <v>http://cdn.wpsstatic.com/images/full/9be0-572a52f767886.jpg</v>
      </c>
      <c r="B1655" s="5" t="s">
        <v>1655</v>
      </c>
    </row>
    <row r="1656" spans="1:2" x14ac:dyDescent="0.2">
      <c r="A1656" s="4" t="str">
        <f>HYPERLINK("http://cdn.wpsstatic.com/images/full/9be0-572a52f767886.jpg", "http://cdn.wpsstatic.com/images/full/9be0-572a52f767886.jpg")</f>
        <v>http://cdn.wpsstatic.com/images/full/9be0-572a52f767886.jpg</v>
      </c>
      <c r="B1656" s="5" t="s">
        <v>1656</v>
      </c>
    </row>
    <row r="1657" spans="1:2" x14ac:dyDescent="0.2">
      <c r="A1657" s="4" t="str">
        <f>HYPERLINK("http://cdn.wpsstatic.com/images/full/9be0-572a52f767886.jpg", "http://cdn.wpsstatic.com/images/full/9be0-572a52f767886.jpg")</f>
        <v>http://cdn.wpsstatic.com/images/full/9be0-572a52f767886.jpg</v>
      </c>
      <c r="B1657" s="5" t="s">
        <v>1657</v>
      </c>
    </row>
    <row r="1658" spans="1:2" x14ac:dyDescent="0.2">
      <c r="A1658" s="4" t="str">
        <f>HYPERLINK("http://cdn.wpsstatic.com/images/full/9be0-572a52f767886.jpg", "http://cdn.wpsstatic.com/images/full/9be0-572a52f767886.jpg")</f>
        <v>http://cdn.wpsstatic.com/images/full/9be0-572a52f767886.jpg</v>
      </c>
      <c r="B1658" s="5" t="s">
        <v>1658</v>
      </c>
    </row>
    <row r="1659" spans="1:2" x14ac:dyDescent="0.2">
      <c r="A1659" s="4" t="str">
        <f>HYPERLINK("http://cdn.wpsstatic.com/images/full/9be0-572a52f767886.jpg", "http://cdn.wpsstatic.com/images/full/9be0-572a52f767886.jpg")</f>
        <v>http://cdn.wpsstatic.com/images/full/9be0-572a52f767886.jpg</v>
      </c>
      <c r="B1659" s="5" t="s">
        <v>1659</v>
      </c>
    </row>
    <row r="1660" spans="1:2" x14ac:dyDescent="0.2">
      <c r="A1660" s="4" t="str">
        <f>HYPERLINK("http://cdn.wpsstatic.com/images/full/9be0-572a52f767886.jpg", "http://cdn.wpsstatic.com/images/full/9be0-572a52f767886.jpg")</f>
        <v>http://cdn.wpsstatic.com/images/full/9be0-572a52f767886.jpg</v>
      </c>
      <c r="B1660" s="5" t="s">
        <v>1660</v>
      </c>
    </row>
    <row r="1661" spans="1:2" x14ac:dyDescent="0.2">
      <c r="A1661" s="4" t="str">
        <f>HYPERLINK("http://cdn.wpsstatic.com/images/full/9be0-572a52f767886.jpg", "http://cdn.wpsstatic.com/images/full/9be0-572a52f767886.jpg")</f>
        <v>http://cdn.wpsstatic.com/images/full/9be0-572a52f767886.jpg</v>
      </c>
      <c r="B1661" s="5" t="s">
        <v>1661</v>
      </c>
    </row>
    <row r="1662" spans="1:2" x14ac:dyDescent="0.2">
      <c r="A1662" s="4" t="str">
        <f>HYPERLINK("http://cdn.wpsstatic.com/images/full/9be0-572a52f767886.jpg", "http://cdn.wpsstatic.com/images/full/9be0-572a52f767886.jpg")</f>
        <v>http://cdn.wpsstatic.com/images/full/9be0-572a52f767886.jpg</v>
      </c>
      <c r="B1662" s="5" t="s">
        <v>1662</v>
      </c>
    </row>
    <row r="1663" spans="1:2" x14ac:dyDescent="0.2">
      <c r="A1663" s="4" t="str">
        <f>HYPERLINK("http://cdn.wpsstatic.com/images/full/9be0-572a52f767886.jpg", "http://cdn.wpsstatic.com/images/full/9be0-572a52f767886.jpg")</f>
        <v>http://cdn.wpsstatic.com/images/full/9be0-572a52f767886.jpg</v>
      </c>
      <c r="B1663" s="5" t="s">
        <v>1663</v>
      </c>
    </row>
    <row r="1664" spans="1:2" x14ac:dyDescent="0.2">
      <c r="A1664" s="4" t="str">
        <f>HYPERLINK("http://cdn.wpsstatic.com/images/full/9be0-572a52f767886.jpg", "http://cdn.wpsstatic.com/images/full/9be0-572a52f767886.jpg")</f>
        <v>http://cdn.wpsstatic.com/images/full/9be0-572a52f767886.jpg</v>
      </c>
      <c r="B1664" s="5" t="s">
        <v>1664</v>
      </c>
    </row>
    <row r="1665" spans="1:2" x14ac:dyDescent="0.2">
      <c r="A1665" s="4" t="str">
        <f>HYPERLINK("http://cdn.wpsstatic.com/images/full/9be0-572a52f767886.jpg", "http://cdn.wpsstatic.com/images/full/9be0-572a52f767886.jpg")</f>
        <v>http://cdn.wpsstatic.com/images/full/9be0-572a52f767886.jpg</v>
      </c>
      <c r="B1665" s="5" t="s">
        <v>1665</v>
      </c>
    </row>
    <row r="1666" spans="1:2" x14ac:dyDescent="0.2">
      <c r="A1666" s="4" t="str">
        <f>HYPERLINK("http://cdn.wpsstatic.com/images/full/9be0-572a52f767886.jpg", "http://cdn.wpsstatic.com/images/full/9be0-572a52f767886.jpg")</f>
        <v>http://cdn.wpsstatic.com/images/full/9be0-572a52f767886.jpg</v>
      </c>
      <c r="B1666" s="5" t="s">
        <v>1666</v>
      </c>
    </row>
    <row r="1667" spans="1:2" x14ac:dyDescent="0.2">
      <c r="A1667" s="4" t="str">
        <f>HYPERLINK("http://cdn.wpsstatic.com/images/full/9be0-572a52f767886.jpg", "http://cdn.wpsstatic.com/images/full/9be0-572a52f767886.jpg")</f>
        <v>http://cdn.wpsstatic.com/images/full/9be0-572a52f767886.jpg</v>
      </c>
      <c r="B1667" s="5" t="s">
        <v>1667</v>
      </c>
    </row>
    <row r="1668" spans="1:2" x14ac:dyDescent="0.2">
      <c r="A1668" s="4" t="str">
        <f>HYPERLINK("http://cdn.wpsstatic.com/images/full/9be0-572a52f767886.jpg", "http://cdn.wpsstatic.com/images/full/9be0-572a52f767886.jpg")</f>
        <v>http://cdn.wpsstatic.com/images/full/9be0-572a52f767886.jpg</v>
      </c>
      <c r="B1668" s="5" t="s">
        <v>1668</v>
      </c>
    </row>
    <row r="1669" spans="1:2" x14ac:dyDescent="0.2">
      <c r="A1669" s="4" t="str">
        <f>HYPERLINK("http://cdn.wpsstatic.com/images/full/9be0-572a52f767886.jpg", "http://cdn.wpsstatic.com/images/full/9be0-572a52f767886.jpg")</f>
        <v>http://cdn.wpsstatic.com/images/full/9be0-572a52f767886.jpg</v>
      </c>
      <c r="B1669" s="5" t="s">
        <v>1669</v>
      </c>
    </row>
    <row r="1670" spans="1:2" x14ac:dyDescent="0.2">
      <c r="A1670" s="4" t="str">
        <f>HYPERLINK("http://cdn.wpsstatic.com/images/full/9be0-572a52f767886.jpg", "http://cdn.wpsstatic.com/images/full/9be0-572a52f767886.jpg")</f>
        <v>http://cdn.wpsstatic.com/images/full/9be0-572a52f767886.jpg</v>
      </c>
      <c r="B1670" s="5" t="s">
        <v>1670</v>
      </c>
    </row>
    <row r="1671" spans="1:2" x14ac:dyDescent="0.2">
      <c r="A1671" s="4" t="str">
        <f>HYPERLINK("http://cdn.wpsstatic.com/images/full/9be0-572a52f767886.jpg", "http://cdn.wpsstatic.com/images/full/9be0-572a52f767886.jpg")</f>
        <v>http://cdn.wpsstatic.com/images/full/9be0-572a52f767886.jpg</v>
      </c>
      <c r="B1671" s="5" t="s">
        <v>1671</v>
      </c>
    </row>
    <row r="1672" spans="1:2" x14ac:dyDescent="0.2">
      <c r="A1672" s="4" t="str">
        <f>HYPERLINK("http://cdn.wpsstatic.com/images/full/9be0-572a52f767886.jpg", "http://cdn.wpsstatic.com/images/full/9be0-572a52f767886.jpg")</f>
        <v>http://cdn.wpsstatic.com/images/full/9be0-572a52f767886.jpg</v>
      </c>
      <c r="B1672" s="5" t="s">
        <v>1672</v>
      </c>
    </row>
    <row r="1673" spans="1:2" x14ac:dyDescent="0.2">
      <c r="A1673" s="4" t="str">
        <f>HYPERLINK("http://cdn.wpsstatic.com/images/full/9be0-572a52f767886.jpg", "http://cdn.wpsstatic.com/images/full/9be0-572a52f767886.jpg")</f>
        <v>http://cdn.wpsstatic.com/images/full/9be0-572a52f767886.jpg</v>
      </c>
      <c r="B1673" s="5" t="s">
        <v>1673</v>
      </c>
    </row>
    <row r="1674" spans="1:2" x14ac:dyDescent="0.2">
      <c r="A1674" s="4" t="str">
        <f>HYPERLINK("http://cdn.wpsstatic.com/images/full/9be0-572a52f767886.jpg", "http://cdn.wpsstatic.com/images/full/9be0-572a52f767886.jpg")</f>
        <v>http://cdn.wpsstatic.com/images/full/9be0-572a52f767886.jpg</v>
      </c>
      <c r="B1674" s="5" t="s">
        <v>1674</v>
      </c>
    </row>
    <row r="1675" spans="1:2" x14ac:dyDescent="0.2">
      <c r="A1675" s="4" t="str">
        <f>HYPERLINK("http://cdn.wpsstatic.com/images/full/9be0-572a52f767886.jpg", "http://cdn.wpsstatic.com/images/full/9be0-572a52f767886.jpg")</f>
        <v>http://cdn.wpsstatic.com/images/full/9be0-572a52f767886.jpg</v>
      </c>
      <c r="B1675" s="5" t="s">
        <v>1675</v>
      </c>
    </row>
    <row r="1676" spans="1:2" x14ac:dyDescent="0.2">
      <c r="A1676" s="4" t="str">
        <f>HYPERLINK("http://cdn.wpsstatic.com/images/full/9be0-572a52f767886.jpg", "http://cdn.wpsstatic.com/images/full/9be0-572a52f767886.jpg")</f>
        <v>http://cdn.wpsstatic.com/images/full/9be0-572a52f767886.jpg</v>
      </c>
      <c r="B1676" s="5" t="s">
        <v>1676</v>
      </c>
    </row>
    <row r="1677" spans="1:2" x14ac:dyDescent="0.2">
      <c r="A1677" s="4" t="str">
        <f>HYPERLINK("http://cdn.wpsstatic.com/images/full/9be0-572a52f767886.jpg", "http://cdn.wpsstatic.com/images/full/9be0-572a52f767886.jpg")</f>
        <v>http://cdn.wpsstatic.com/images/full/9be0-572a52f767886.jpg</v>
      </c>
      <c r="B1677" s="5" t="s">
        <v>1677</v>
      </c>
    </row>
    <row r="1678" spans="1:2" x14ac:dyDescent="0.2">
      <c r="A1678" s="4" t="str">
        <f>HYPERLINK("http://cdn.wpsstatic.com/images/full/9be0-572a52f767886.jpg", "http://cdn.wpsstatic.com/images/full/9be0-572a52f767886.jpg")</f>
        <v>http://cdn.wpsstatic.com/images/full/9be0-572a52f767886.jpg</v>
      </c>
      <c r="B1678" s="5" t="s">
        <v>1678</v>
      </c>
    </row>
    <row r="1679" spans="1:2" x14ac:dyDescent="0.2">
      <c r="A1679" s="4" t="str">
        <f>HYPERLINK("http://cdn.wpsstatic.com/images/full/9be0-572a52f767886.jpg", "http://cdn.wpsstatic.com/images/full/9be0-572a52f767886.jpg")</f>
        <v>http://cdn.wpsstatic.com/images/full/9be0-572a52f767886.jpg</v>
      </c>
      <c r="B1679" s="5" t="s">
        <v>1679</v>
      </c>
    </row>
    <row r="1680" spans="1:2" x14ac:dyDescent="0.2">
      <c r="A1680" s="4" t="str">
        <f>HYPERLINK("http://cdn.wpsstatic.com/images/full/9be0-572a52f767886.jpg", "http://cdn.wpsstatic.com/images/full/9be0-572a52f767886.jpg")</f>
        <v>http://cdn.wpsstatic.com/images/full/9be0-572a52f767886.jpg</v>
      </c>
      <c r="B1680" s="5" t="s">
        <v>1680</v>
      </c>
    </row>
    <row r="1681" spans="1:2" x14ac:dyDescent="0.2">
      <c r="A1681" s="4" t="str">
        <f>HYPERLINK("http://cdn.wpsstatic.com/images/full/9be0-572a52f767886.jpg", "http://cdn.wpsstatic.com/images/full/9be0-572a52f767886.jpg")</f>
        <v>http://cdn.wpsstatic.com/images/full/9be0-572a52f767886.jpg</v>
      </c>
      <c r="B1681" s="5" t="s">
        <v>1681</v>
      </c>
    </row>
    <row r="1682" spans="1:2" x14ac:dyDescent="0.2">
      <c r="A1682" s="4" t="str">
        <f>HYPERLINK("http://cdn.wpsstatic.com/images/full/9be0-572a52f767886.jpg", "http://cdn.wpsstatic.com/images/full/9be0-572a52f767886.jpg")</f>
        <v>http://cdn.wpsstatic.com/images/full/9be0-572a52f767886.jpg</v>
      </c>
      <c r="B1682" s="5" t="s">
        <v>1682</v>
      </c>
    </row>
    <row r="1683" spans="1:2" x14ac:dyDescent="0.2">
      <c r="A1683" s="4" t="str">
        <f>HYPERLINK("http://cdn.wpsstatic.com/images/full/9be0-572a52f767886.jpg", "http://cdn.wpsstatic.com/images/full/9be0-572a52f767886.jpg")</f>
        <v>http://cdn.wpsstatic.com/images/full/9be0-572a52f767886.jpg</v>
      </c>
      <c r="B1683" s="5" t="s">
        <v>1683</v>
      </c>
    </row>
    <row r="1684" spans="1:2" x14ac:dyDescent="0.2">
      <c r="A1684" s="4" t="str">
        <f>HYPERLINK("http://cdn.wpsstatic.com/images/full/9be0-572a52f767886.jpg", "http://cdn.wpsstatic.com/images/full/9be0-572a52f767886.jpg")</f>
        <v>http://cdn.wpsstatic.com/images/full/9be0-572a52f767886.jpg</v>
      </c>
      <c r="B1684" s="5" t="s">
        <v>1684</v>
      </c>
    </row>
    <row r="1685" spans="1:2" x14ac:dyDescent="0.2">
      <c r="A1685" s="4" t="str">
        <f>HYPERLINK("http://cdn.wpsstatic.com/images/full/9be0-572a52f767886.jpg", "http://cdn.wpsstatic.com/images/full/9be0-572a52f767886.jpg")</f>
        <v>http://cdn.wpsstatic.com/images/full/9be0-572a52f767886.jpg</v>
      </c>
      <c r="B1685" s="5" t="s">
        <v>1685</v>
      </c>
    </row>
    <row r="1686" spans="1:2" x14ac:dyDescent="0.2">
      <c r="A1686" s="4" t="str">
        <f>HYPERLINK("http://cdn.wpsstatic.com/images/full/9be0-572a52f767886.jpg", "http://cdn.wpsstatic.com/images/full/9be0-572a52f767886.jpg")</f>
        <v>http://cdn.wpsstatic.com/images/full/9be0-572a52f767886.jpg</v>
      </c>
      <c r="B1686" s="5" t="s">
        <v>1686</v>
      </c>
    </row>
    <row r="1687" spans="1:2" x14ac:dyDescent="0.2">
      <c r="A1687" s="4" t="str">
        <f>HYPERLINK("http://cdn.wpsstatic.com/images/full/9be0-572a52f767886.jpg", "http://cdn.wpsstatic.com/images/full/9be0-572a52f767886.jpg")</f>
        <v>http://cdn.wpsstatic.com/images/full/9be0-572a52f767886.jpg</v>
      </c>
      <c r="B1687" s="5" t="s">
        <v>1687</v>
      </c>
    </row>
    <row r="1688" spans="1:2" x14ac:dyDescent="0.2">
      <c r="A1688" s="4" t="str">
        <f>HYPERLINK("http://cdn.wpsstatic.com/images/full/9be0-572a52f767886.jpg", "http://cdn.wpsstatic.com/images/full/9be0-572a52f767886.jpg")</f>
        <v>http://cdn.wpsstatic.com/images/full/9be0-572a52f767886.jpg</v>
      </c>
      <c r="B1688" s="5" t="s">
        <v>1688</v>
      </c>
    </row>
    <row r="1689" spans="1:2" x14ac:dyDescent="0.2">
      <c r="A1689" s="4" t="str">
        <f>HYPERLINK("http://cdn.wpsstatic.com/images/full/9be0-572a52f767886.jpg", "http://cdn.wpsstatic.com/images/full/9be0-572a52f767886.jpg")</f>
        <v>http://cdn.wpsstatic.com/images/full/9be0-572a52f767886.jpg</v>
      </c>
      <c r="B1689" s="5" t="s">
        <v>1689</v>
      </c>
    </row>
    <row r="1690" spans="1:2" x14ac:dyDescent="0.2">
      <c r="A1690" s="4" t="str">
        <f>HYPERLINK("http://cdn.wpsstatic.com/images/full/9be0-572a52f767886.jpg", "http://cdn.wpsstatic.com/images/full/9be0-572a52f767886.jpg")</f>
        <v>http://cdn.wpsstatic.com/images/full/9be0-572a52f767886.jpg</v>
      </c>
      <c r="B1690" s="5" t="s">
        <v>1690</v>
      </c>
    </row>
    <row r="1691" spans="1:2" x14ac:dyDescent="0.2">
      <c r="A1691" s="4" t="str">
        <f>HYPERLINK("http://cdn.wpsstatic.com/images/full/9be0-572a52f767886.jpg", "http://cdn.wpsstatic.com/images/full/9be0-572a52f767886.jpg")</f>
        <v>http://cdn.wpsstatic.com/images/full/9be0-572a52f767886.jpg</v>
      </c>
      <c r="B1691" s="5" t="s">
        <v>1691</v>
      </c>
    </row>
    <row r="1692" spans="1:2" x14ac:dyDescent="0.2">
      <c r="A1692" s="4" t="str">
        <f>HYPERLINK("http://cdn.wpsstatic.com/images/full/9be0-572a52f767886.jpg", "http://cdn.wpsstatic.com/images/full/9be0-572a52f767886.jpg")</f>
        <v>http://cdn.wpsstatic.com/images/full/9be0-572a52f767886.jpg</v>
      </c>
      <c r="B1692" s="5" t="s">
        <v>1692</v>
      </c>
    </row>
    <row r="1693" spans="1:2" x14ac:dyDescent="0.2">
      <c r="A1693" s="4" t="str">
        <f>HYPERLINK("http://cdn.wpsstatic.com/images/full/9be0-572a52f767886.jpg", "http://cdn.wpsstatic.com/images/full/9be0-572a52f767886.jpg")</f>
        <v>http://cdn.wpsstatic.com/images/full/9be0-572a52f767886.jpg</v>
      </c>
      <c r="B1693" s="5" t="s">
        <v>1693</v>
      </c>
    </row>
    <row r="1694" spans="1:2" x14ac:dyDescent="0.2">
      <c r="A1694" s="4" t="str">
        <f>HYPERLINK("http://cdn.wpsstatic.com/images/full/9be0-572a52f767886.jpg", "http://cdn.wpsstatic.com/images/full/9be0-572a52f767886.jpg")</f>
        <v>http://cdn.wpsstatic.com/images/full/9be0-572a52f767886.jpg</v>
      </c>
      <c r="B1694" s="5" t="s">
        <v>1694</v>
      </c>
    </row>
    <row r="1695" spans="1:2" x14ac:dyDescent="0.2">
      <c r="A1695" s="4" t="str">
        <f>HYPERLINK("http://cdn.wpsstatic.com/images/full/9be0-572a52f767886.jpg", "http://cdn.wpsstatic.com/images/full/9be0-572a52f767886.jpg")</f>
        <v>http://cdn.wpsstatic.com/images/full/9be0-572a52f767886.jpg</v>
      </c>
      <c r="B1695" s="5" t="s">
        <v>1695</v>
      </c>
    </row>
    <row r="1696" spans="1:2" x14ac:dyDescent="0.2">
      <c r="A1696" s="4" t="str">
        <f>HYPERLINK("http://cdn.wpsstatic.com/images/full/9be0-572a52f767886.jpg", "http://cdn.wpsstatic.com/images/full/9be0-572a52f767886.jpg")</f>
        <v>http://cdn.wpsstatic.com/images/full/9be0-572a52f767886.jpg</v>
      </c>
      <c r="B1696" s="5" t="s">
        <v>1696</v>
      </c>
    </row>
    <row r="1697" spans="1:2" x14ac:dyDescent="0.2">
      <c r="A1697" s="4" t="str">
        <f>HYPERLINK("http://cdn.wpsstatic.com/images/full/9be0-572a52f767886.jpg", "http://cdn.wpsstatic.com/images/full/9be0-572a52f767886.jpg")</f>
        <v>http://cdn.wpsstatic.com/images/full/9be0-572a52f767886.jpg</v>
      </c>
      <c r="B1697" s="5" t="s">
        <v>1697</v>
      </c>
    </row>
    <row r="1698" spans="1:2" x14ac:dyDescent="0.2">
      <c r="A1698" s="4" t="str">
        <f>HYPERLINK("http://cdn.wpsstatic.com/images/full/9be0-572a52f767886.jpg", "http://cdn.wpsstatic.com/images/full/9be0-572a52f767886.jpg")</f>
        <v>http://cdn.wpsstatic.com/images/full/9be0-572a52f767886.jpg</v>
      </c>
      <c r="B1698" s="5" t="s">
        <v>1698</v>
      </c>
    </row>
    <row r="1699" spans="1:2" x14ac:dyDescent="0.2">
      <c r="A1699" s="4" t="str">
        <f>HYPERLINK("http://cdn.wpsstatic.com/images/full/9be0-572a52f767886.jpg", "http://cdn.wpsstatic.com/images/full/9be0-572a52f767886.jpg")</f>
        <v>http://cdn.wpsstatic.com/images/full/9be0-572a52f767886.jpg</v>
      </c>
      <c r="B1699" s="5" t="s">
        <v>1699</v>
      </c>
    </row>
    <row r="1700" spans="1:2" x14ac:dyDescent="0.2">
      <c r="A1700" s="4" t="str">
        <f>HYPERLINK("http://cdn.wpsstatic.com/images/full/9be0-572a52f767886.jpg", "http://cdn.wpsstatic.com/images/full/9be0-572a52f767886.jpg")</f>
        <v>http://cdn.wpsstatic.com/images/full/9be0-572a52f767886.jpg</v>
      </c>
      <c r="B1700" s="5" t="s">
        <v>1700</v>
      </c>
    </row>
    <row r="1701" spans="1:2" x14ac:dyDescent="0.2">
      <c r="A1701" s="4" t="str">
        <f>HYPERLINK("http://cdn.wpsstatic.com/images/full/9be0-572a52f767886.jpg", "http://cdn.wpsstatic.com/images/full/9be0-572a52f767886.jpg")</f>
        <v>http://cdn.wpsstatic.com/images/full/9be0-572a52f767886.jpg</v>
      </c>
      <c r="B1701" s="5" t="s">
        <v>1701</v>
      </c>
    </row>
    <row r="1702" spans="1:2" x14ac:dyDescent="0.2">
      <c r="A1702" s="4" t="str">
        <f>HYPERLINK("http://cdn.wpsstatic.com/images/full/9be0-572a52f767886.jpg", "http://cdn.wpsstatic.com/images/full/9be0-572a52f767886.jpg")</f>
        <v>http://cdn.wpsstatic.com/images/full/9be0-572a52f767886.jpg</v>
      </c>
      <c r="B1702" s="5" t="s">
        <v>1702</v>
      </c>
    </row>
    <row r="1703" spans="1:2" x14ac:dyDescent="0.2">
      <c r="A1703" s="4" t="str">
        <f>HYPERLINK("http://cdn.wpsstatic.com/images/full/9be0-572a52f767886.jpg", "http://cdn.wpsstatic.com/images/full/9be0-572a52f767886.jpg")</f>
        <v>http://cdn.wpsstatic.com/images/full/9be0-572a52f767886.jpg</v>
      </c>
      <c r="B1703" s="5" t="s">
        <v>1703</v>
      </c>
    </row>
    <row r="1704" spans="1:2" x14ac:dyDescent="0.2">
      <c r="A1704" s="4" t="str">
        <f>HYPERLINK("http://cdn.wpsstatic.com/images/full/9be0-572a52f767886.jpg", "http://cdn.wpsstatic.com/images/full/9be0-572a52f767886.jpg")</f>
        <v>http://cdn.wpsstatic.com/images/full/9be0-572a52f767886.jpg</v>
      </c>
      <c r="B1704" s="5" t="s">
        <v>1704</v>
      </c>
    </row>
    <row r="1705" spans="1:2" x14ac:dyDescent="0.2">
      <c r="A1705" s="4" t="str">
        <f>HYPERLINK("http://cdn.wpsstatic.com/images/full/9be0-572a52f767886.jpg", "http://cdn.wpsstatic.com/images/full/9be0-572a52f767886.jpg")</f>
        <v>http://cdn.wpsstatic.com/images/full/9be0-572a52f767886.jpg</v>
      </c>
      <c r="B1705" s="5" t="s">
        <v>1705</v>
      </c>
    </row>
    <row r="1706" spans="1:2" x14ac:dyDescent="0.2">
      <c r="A1706" s="4" t="str">
        <f>HYPERLINK("http://cdn.wpsstatic.com/images/full/9be0-572a52f767886.jpg", "http://cdn.wpsstatic.com/images/full/9be0-572a52f767886.jpg")</f>
        <v>http://cdn.wpsstatic.com/images/full/9be0-572a52f767886.jpg</v>
      </c>
      <c r="B1706" s="5" t="s">
        <v>1706</v>
      </c>
    </row>
    <row r="1707" spans="1:2" x14ac:dyDescent="0.2">
      <c r="A1707" s="4" t="str">
        <f>HYPERLINK("http://cdn.wpsstatic.com/images/full/9be0-572a52f767886.jpg", "http://cdn.wpsstatic.com/images/full/9be0-572a52f767886.jpg")</f>
        <v>http://cdn.wpsstatic.com/images/full/9be0-572a52f767886.jpg</v>
      </c>
      <c r="B1707" s="5" t="s">
        <v>1707</v>
      </c>
    </row>
    <row r="1708" spans="1:2" x14ac:dyDescent="0.2">
      <c r="A1708" s="4" t="str">
        <f>HYPERLINK("http://cdn.wpsstatic.com/images/full/9be0-572a52f767886.jpg", "http://cdn.wpsstatic.com/images/full/9be0-572a52f767886.jpg")</f>
        <v>http://cdn.wpsstatic.com/images/full/9be0-572a52f767886.jpg</v>
      </c>
      <c r="B1708" s="5" t="s">
        <v>1708</v>
      </c>
    </row>
    <row r="1709" spans="1:2" x14ac:dyDescent="0.2">
      <c r="A1709" s="4" t="str">
        <f>HYPERLINK("http://cdn.wpsstatic.com/images/full/9be0-572a52f767886.jpg", "http://cdn.wpsstatic.com/images/full/9be0-572a52f767886.jpg")</f>
        <v>http://cdn.wpsstatic.com/images/full/9be0-572a52f767886.jpg</v>
      </c>
      <c r="B1709" s="5" t="s">
        <v>1709</v>
      </c>
    </row>
    <row r="1710" spans="1:2" x14ac:dyDescent="0.2">
      <c r="A1710" s="4" t="str">
        <f>HYPERLINK("http://cdn.wpsstatic.com/images/full/9be0-572a52f767886.jpg", "http://cdn.wpsstatic.com/images/full/9be0-572a52f767886.jpg")</f>
        <v>http://cdn.wpsstatic.com/images/full/9be0-572a52f767886.jpg</v>
      </c>
      <c r="B1710" s="5" t="s">
        <v>1710</v>
      </c>
    </row>
    <row r="1711" spans="1:2" x14ac:dyDescent="0.2">
      <c r="A1711" s="4" t="str">
        <f>HYPERLINK("http://cdn.wpsstatic.com/images/full/9be0-572a52f767886.jpg", "http://cdn.wpsstatic.com/images/full/9be0-572a52f767886.jpg")</f>
        <v>http://cdn.wpsstatic.com/images/full/9be0-572a52f767886.jpg</v>
      </c>
      <c r="B1711" s="5" t="s">
        <v>1711</v>
      </c>
    </row>
    <row r="1712" spans="1:2" x14ac:dyDescent="0.2">
      <c r="A1712" s="4" t="str">
        <f>HYPERLINK("http://cdn.wpsstatic.com/images/full/9be0-572a52f767886.jpg", "http://cdn.wpsstatic.com/images/full/9be0-572a52f767886.jpg")</f>
        <v>http://cdn.wpsstatic.com/images/full/9be0-572a52f767886.jpg</v>
      </c>
      <c r="B1712" s="5" t="s">
        <v>1712</v>
      </c>
    </row>
    <row r="1713" spans="1:2" x14ac:dyDescent="0.2">
      <c r="A1713" s="4" t="str">
        <f>HYPERLINK("http://cdn.wpsstatic.com/images/full/9be0-572a52f767886.jpg", "http://cdn.wpsstatic.com/images/full/9be0-572a52f767886.jpg")</f>
        <v>http://cdn.wpsstatic.com/images/full/9be0-572a52f767886.jpg</v>
      </c>
      <c r="B1713" s="5" t="s">
        <v>1713</v>
      </c>
    </row>
    <row r="1714" spans="1:2" x14ac:dyDescent="0.2">
      <c r="A1714" s="4" t="str">
        <f>HYPERLINK("http://cdn.wpsstatic.com/images/full/9be0-572a52f767886.jpg", "http://cdn.wpsstatic.com/images/full/9be0-572a52f767886.jpg")</f>
        <v>http://cdn.wpsstatic.com/images/full/9be0-572a52f767886.jpg</v>
      </c>
      <c r="B1714" s="5" t="s">
        <v>1714</v>
      </c>
    </row>
    <row r="1715" spans="1:2" x14ac:dyDescent="0.2">
      <c r="A1715" s="4" t="str">
        <f>HYPERLINK("http://cdn.wpsstatic.com/images/full/9be0-572a52f767886.jpg", "http://cdn.wpsstatic.com/images/full/9be0-572a52f767886.jpg")</f>
        <v>http://cdn.wpsstatic.com/images/full/9be0-572a52f767886.jpg</v>
      </c>
      <c r="B1715" s="5" t="s">
        <v>1715</v>
      </c>
    </row>
    <row r="1716" spans="1:2" x14ac:dyDescent="0.2">
      <c r="A1716" s="4" t="str">
        <f>HYPERLINK("http://cdn.wpsstatic.com/images/full/9be0-572a52f767886.jpg", "http://cdn.wpsstatic.com/images/full/9be0-572a52f767886.jpg")</f>
        <v>http://cdn.wpsstatic.com/images/full/9be0-572a52f767886.jpg</v>
      </c>
      <c r="B1716" s="5" t="s">
        <v>1716</v>
      </c>
    </row>
    <row r="1717" spans="1:2" x14ac:dyDescent="0.2">
      <c r="A1717" s="4" t="str">
        <f>HYPERLINK("http://cdn.wpsstatic.com/images/full/9be0-572a52f767886.jpg", "http://cdn.wpsstatic.com/images/full/9be0-572a52f767886.jpg")</f>
        <v>http://cdn.wpsstatic.com/images/full/9be0-572a52f767886.jpg</v>
      </c>
      <c r="B1717" s="5" t="s">
        <v>1717</v>
      </c>
    </row>
    <row r="1718" spans="1:2" x14ac:dyDescent="0.2">
      <c r="A1718" s="4" t="str">
        <f>HYPERLINK("http://cdn.wpsstatic.com/images/full/9be0-572a52f767886.jpg", "http://cdn.wpsstatic.com/images/full/9be0-572a52f767886.jpg")</f>
        <v>http://cdn.wpsstatic.com/images/full/9be0-572a52f767886.jpg</v>
      </c>
      <c r="B1718" s="5" t="s">
        <v>1718</v>
      </c>
    </row>
    <row r="1719" spans="1:2" x14ac:dyDescent="0.2">
      <c r="A1719" s="4" t="str">
        <f>HYPERLINK("http://cdn.wpsstatic.com/images/full/9be0-572a52f767886.jpg", "http://cdn.wpsstatic.com/images/full/9be0-572a52f767886.jpg")</f>
        <v>http://cdn.wpsstatic.com/images/full/9be0-572a52f767886.jpg</v>
      </c>
      <c r="B1719" s="5" t="s">
        <v>1719</v>
      </c>
    </row>
    <row r="1720" spans="1:2" x14ac:dyDescent="0.2">
      <c r="A1720" s="4" t="str">
        <f>HYPERLINK("http://cdn.wpsstatic.com/images/full/9be0-572a52f767886.jpg", "http://cdn.wpsstatic.com/images/full/9be0-572a52f767886.jpg")</f>
        <v>http://cdn.wpsstatic.com/images/full/9be0-572a52f767886.jpg</v>
      </c>
      <c r="B1720" s="5" t="s">
        <v>1720</v>
      </c>
    </row>
    <row r="1721" spans="1:2" x14ac:dyDescent="0.2">
      <c r="A1721" s="4" t="str">
        <f>HYPERLINK("http://cdn.wpsstatic.com/images/full/9be0-572a52f767886.jpg", "http://cdn.wpsstatic.com/images/full/9be0-572a52f767886.jpg")</f>
        <v>http://cdn.wpsstatic.com/images/full/9be0-572a52f767886.jpg</v>
      </c>
      <c r="B1721" s="5" t="s">
        <v>1721</v>
      </c>
    </row>
    <row r="1722" spans="1:2" x14ac:dyDescent="0.2">
      <c r="A1722" s="4" t="str">
        <f>HYPERLINK("http://cdn.wpsstatic.com/images/full/9be0-572a52f767886.jpg", "http://cdn.wpsstatic.com/images/full/9be0-572a52f767886.jpg")</f>
        <v>http://cdn.wpsstatic.com/images/full/9be0-572a52f767886.jpg</v>
      </c>
      <c r="B1722" s="5" t="s">
        <v>1722</v>
      </c>
    </row>
    <row r="1723" spans="1:2" x14ac:dyDescent="0.2">
      <c r="A1723" s="4" t="str">
        <f>HYPERLINK("http://cdn.wpsstatic.com/images/full/9be0-572a52f767886.jpg", "http://cdn.wpsstatic.com/images/full/9be0-572a52f767886.jpg")</f>
        <v>http://cdn.wpsstatic.com/images/full/9be0-572a52f767886.jpg</v>
      </c>
      <c r="B1723" s="5" t="s">
        <v>1723</v>
      </c>
    </row>
    <row r="1724" spans="1:2" x14ac:dyDescent="0.2">
      <c r="A1724" s="4" t="str">
        <f>HYPERLINK("http://cdn.wpsstatic.com/images/full/9be0-572a52f767886.jpg", "http://cdn.wpsstatic.com/images/full/9be0-572a52f767886.jpg")</f>
        <v>http://cdn.wpsstatic.com/images/full/9be0-572a52f767886.jpg</v>
      </c>
      <c r="B1724" s="5" t="s">
        <v>1724</v>
      </c>
    </row>
    <row r="1725" spans="1:2" x14ac:dyDescent="0.2">
      <c r="A1725" s="4" t="str">
        <f>HYPERLINK("http://cdn.wpsstatic.com/images/full/9be0-572a52f767886.jpg", "http://cdn.wpsstatic.com/images/full/9be0-572a52f767886.jpg")</f>
        <v>http://cdn.wpsstatic.com/images/full/9be0-572a52f767886.jpg</v>
      </c>
      <c r="B1725" s="5" t="s">
        <v>1725</v>
      </c>
    </row>
    <row r="1726" spans="1:2" x14ac:dyDescent="0.2">
      <c r="A1726" s="4" t="str">
        <f>HYPERLINK("http://cdn.wpsstatic.com/images/full/9be0-572a52f767886.jpg", "http://cdn.wpsstatic.com/images/full/9be0-572a52f767886.jpg")</f>
        <v>http://cdn.wpsstatic.com/images/full/9be0-572a52f767886.jpg</v>
      </c>
      <c r="B1726" s="5" t="s">
        <v>1726</v>
      </c>
    </row>
    <row r="1727" spans="1:2" x14ac:dyDescent="0.2">
      <c r="A1727" s="4" t="str">
        <f>HYPERLINK("http://cdn.wpsstatic.com/images/full/9be0-572a52f767886.jpg", "http://cdn.wpsstatic.com/images/full/9be0-572a52f767886.jpg")</f>
        <v>http://cdn.wpsstatic.com/images/full/9be0-572a52f767886.jpg</v>
      </c>
      <c r="B1727" s="5" t="s">
        <v>1727</v>
      </c>
    </row>
    <row r="1728" spans="1:2" x14ac:dyDescent="0.2">
      <c r="A1728" s="4" t="str">
        <f>HYPERLINK("http://cdn.wpsstatic.com/images/full/9c40-572a52fa9582b.jpg", "http://cdn.wpsstatic.com/images/full/9c40-572a52fa9582b.jpg")</f>
        <v>http://cdn.wpsstatic.com/images/full/9c40-572a52fa9582b.jpg</v>
      </c>
      <c r="B1728" s="5" t="s">
        <v>1728</v>
      </c>
    </row>
    <row r="1729" spans="1:2" x14ac:dyDescent="0.2">
      <c r="A1729" s="4" t="str">
        <f>HYPERLINK("http://cdn.wpsstatic.com/images/full/9cc1-572a5411e7348.jpg", "http://cdn.wpsstatic.com/images/full/9cc1-572a5411e7348.jpg")</f>
        <v>http://cdn.wpsstatic.com/images/full/9cc1-572a5411e7348.jpg</v>
      </c>
      <c r="B1729" s="5" t="s">
        <v>1729</v>
      </c>
    </row>
    <row r="1730" spans="1:2" x14ac:dyDescent="0.2">
      <c r="A1730" s="4" t="str">
        <f>HYPERLINK("http://cdn.wpsstatic.com/images/full/9cd9-572a5493905b4.jpg", "http://cdn.wpsstatic.com/images/full/9cd9-572a5493905b4.jpg")</f>
        <v>http://cdn.wpsstatic.com/images/full/9cd9-572a5493905b4.jpg</v>
      </c>
      <c r="B1730" s="5" t="s">
        <v>1730</v>
      </c>
    </row>
    <row r="1731" spans="1:2" x14ac:dyDescent="0.2">
      <c r="A1731" s="4" t="str">
        <f>HYPERLINK("http://cdn.wpsstatic.com/images/full/9d51-5cca0a2925a8f.jpg", "http://cdn.wpsstatic.com/images/full/9d51-5cca0a2925a8f.jpg")</f>
        <v>http://cdn.wpsstatic.com/images/full/9d51-5cca0a2925a8f.jpg</v>
      </c>
      <c r="B1731" s="5" t="s">
        <v>1731</v>
      </c>
    </row>
    <row r="1732" spans="1:2" x14ac:dyDescent="0.2">
      <c r="A1732" s="4" t="str">
        <f>HYPERLINK("http://cdn.wpsstatic.com/images/full/9dee-5bc8bc9f22bc2.jpg", "http://cdn.wpsstatic.com/images/full/9dee-5bc8bc9f22bc2.jpg")</f>
        <v>http://cdn.wpsstatic.com/images/full/9dee-5bc8bc9f22bc2.jpg</v>
      </c>
      <c r="B1732" s="5" t="s">
        <v>1732</v>
      </c>
    </row>
    <row r="1733" spans="1:2" x14ac:dyDescent="0.2">
      <c r="A1733" s="4" t="str">
        <f>HYPERLINK("http://cdn.wpsstatic.com/images/full/9dee-5bc8bc9f22bc2.jpg", "http://cdn.wpsstatic.com/images/full/9dee-5bc8bc9f22bc2.jpg")</f>
        <v>http://cdn.wpsstatic.com/images/full/9dee-5bc8bc9f22bc2.jpg</v>
      </c>
      <c r="B1733" s="5" t="s">
        <v>1733</v>
      </c>
    </row>
    <row r="1734" spans="1:2" x14ac:dyDescent="0.2">
      <c r="A1734" s="4" t="str">
        <f>HYPERLINK("http://cdn.wpsstatic.com/images/full/9dee-5bc8bc9f22bc2.jpg", "http://cdn.wpsstatic.com/images/full/9dee-5bc8bc9f22bc2.jpg")</f>
        <v>http://cdn.wpsstatic.com/images/full/9dee-5bc8bc9f22bc2.jpg</v>
      </c>
      <c r="B1734" s="5" t="s">
        <v>1734</v>
      </c>
    </row>
    <row r="1735" spans="1:2" x14ac:dyDescent="0.2">
      <c r="A1735" s="4" t="str">
        <f>HYPERLINK("http://cdn.wpsstatic.com/images/full/9dee-5bc8bc9f22bc2.jpg", "http://cdn.wpsstatic.com/images/full/9dee-5bc8bc9f22bc2.jpg")</f>
        <v>http://cdn.wpsstatic.com/images/full/9dee-5bc8bc9f22bc2.jpg</v>
      </c>
      <c r="B1735" s="5" t="s">
        <v>1735</v>
      </c>
    </row>
    <row r="1736" spans="1:2" x14ac:dyDescent="0.2">
      <c r="A1736" s="4" t="str">
        <f>HYPERLINK("http://cdn.wpsstatic.com/images/full/9dee-5bc8bc9f22bc2.jpg", "http://cdn.wpsstatic.com/images/full/9dee-5bc8bc9f22bc2.jpg")</f>
        <v>http://cdn.wpsstatic.com/images/full/9dee-5bc8bc9f22bc2.jpg</v>
      </c>
      <c r="B1736" s="5" t="s">
        <v>1736</v>
      </c>
    </row>
    <row r="1737" spans="1:2" x14ac:dyDescent="0.2">
      <c r="A1737" s="4" t="str">
        <f>HYPERLINK("http://cdn.wpsstatic.com/images/full/9dee-5bc8bc9f22bc2.jpg", "http://cdn.wpsstatic.com/images/full/9dee-5bc8bc9f22bc2.jpg")</f>
        <v>http://cdn.wpsstatic.com/images/full/9dee-5bc8bc9f22bc2.jpg</v>
      </c>
      <c r="B1737" s="5" t="s">
        <v>1737</v>
      </c>
    </row>
    <row r="1738" spans="1:2" x14ac:dyDescent="0.2">
      <c r="A1738" s="4" t="str">
        <f>HYPERLINK("http://cdn.wpsstatic.com/images/full/9dee-5bc8bc9f22bc2.jpg", "http://cdn.wpsstatic.com/images/full/9dee-5bc8bc9f22bc2.jpg")</f>
        <v>http://cdn.wpsstatic.com/images/full/9dee-5bc8bc9f22bc2.jpg</v>
      </c>
      <c r="B1738" s="5" t="s">
        <v>1738</v>
      </c>
    </row>
    <row r="1739" spans="1:2" x14ac:dyDescent="0.2">
      <c r="A1739" s="4" t="str">
        <f>HYPERLINK("http://cdn.wpsstatic.com/images/full/9dee-5bc8bc9f22bc2.jpg", "http://cdn.wpsstatic.com/images/full/9dee-5bc8bc9f22bc2.jpg")</f>
        <v>http://cdn.wpsstatic.com/images/full/9dee-5bc8bc9f22bc2.jpg</v>
      </c>
      <c r="B1739" s="5" t="s">
        <v>1739</v>
      </c>
    </row>
    <row r="1740" spans="1:2" x14ac:dyDescent="0.2">
      <c r="A1740" s="4" t="str">
        <f>HYPERLINK("http://cdn.wpsstatic.com/images/full/9dee-5bc8bc9f22bc2.jpg", "http://cdn.wpsstatic.com/images/full/9dee-5bc8bc9f22bc2.jpg")</f>
        <v>http://cdn.wpsstatic.com/images/full/9dee-5bc8bc9f22bc2.jpg</v>
      </c>
      <c r="B1740" s="5" t="s">
        <v>1740</v>
      </c>
    </row>
    <row r="1741" spans="1:2" x14ac:dyDescent="0.2">
      <c r="A1741" s="4" t="str">
        <f>HYPERLINK("http://cdn.wpsstatic.com/images/full/9dee-5bc8bc9f22bc2.jpg", "http://cdn.wpsstatic.com/images/full/9dee-5bc8bc9f22bc2.jpg")</f>
        <v>http://cdn.wpsstatic.com/images/full/9dee-5bc8bc9f22bc2.jpg</v>
      </c>
      <c r="B1741" s="5" t="s">
        <v>1741</v>
      </c>
    </row>
    <row r="1742" spans="1:2" x14ac:dyDescent="0.2">
      <c r="A1742" s="4" t="str">
        <f>HYPERLINK("http://cdn.wpsstatic.com/images/full/9dee-5bc8bc9f22bc2.jpg", "http://cdn.wpsstatic.com/images/full/9dee-5bc8bc9f22bc2.jpg")</f>
        <v>http://cdn.wpsstatic.com/images/full/9dee-5bc8bc9f22bc2.jpg</v>
      </c>
      <c r="B1742" s="5" t="s">
        <v>1742</v>
      </c>
    </row>
    <row r="1743" spans="1:2" x14ac:dyDescent="0.2">
      <c r="A1743" s="4" t="str">
        <f>HYPERLINK("http://cdn.wpsstatic.com/images/full/9dee-5bc8bc9f22bc2.jpg", "http://cdn.wpsstatic.com/images/full/9dee-5bc8bc9f22bc2.jpg")</f>
        <v>http://cdn.wpsstatic.com/images/full/9dee-5bc8bc9f22bc2.jpg</v>
      </c>
      <c r="B1743" s="5" t="s">
        <v>1743</v>
      </c>
    </row>
    <row r="1744" spans="1:2" x14ac:dyDescent="0.2">
      <c r="A1744" s="4" t="str">
        <f>HYPERLINK("http://cdn.wpsstatic.com/images/full/9dee-5bc8bc9f22bc2.jpg", "http://cdn.wpsstatic.com/images/full/9dee-5bc8bc9f22bc2.jpg")</f>
        <v>http://cdn.wpsstatic.com/images/full/9dee-5bc8bc9f22bc2.jpg</v>
      </c>
      <c r="B1744" s="5" t="s">
        <v>1744</v>
      </c>
    </row>
    <row r="1745" spans="1:2" x14ac:dyDescent="0.2">
      <c r="A1745" s="4" t="str">
        <f>HYPERLINK("http://cdn.wpsstatic.com/images/full/9dee-5bc8bc9f22bc2.jpg", "http://cdn.wpsstatic.com/images/full/9dee-5bc8bc9f22bc2.jpg")</f>
        <v>http://cdn.wpsstatic.com/images/full/9dee-5bc8bc9f22bc2.jpg</v>
      </c>
      <c r="B1745" s="5" t="s">
        <v>1745</v>
      </c>
    </row>
    <row r="1746" spans="1:2" x14ac:dyDescent="0.2">
      <c r="A1746" s="4" t="str">
        <f>HYPERLINK("http://cdn.wpsstatic.com/images/full/9dee-5bc8bc9f22bc2.jpg", "http://cdn.wpsstatic.com/images/full/9dee-5bc8bc9f22bc2.jpg")</f>
        <v>http://cdn.wpsstatic.com/images/full/9dee-5bc8bc9f22bc2.jpg</v>
      </c>
      <c r="B1746" s="5" t="s">
        <v>1746</v>
      </c>
    </row>
    <row r="1747" spans="1:2" x14ac:dyDescent="0.2">
      <c r="A1747" s="4" t="str">
        <f>HYPERLINK("http://cdn.wpsstatic.com/images/full/9dee-5bc8bc9f22bc2.jpg", "http://cdn.wpsstatic.com/images/full/9dee-5bc8bc9f22bc2.jpg")</f>
        <v>http://cdn.wpsstatic.com/images/full/9dee-5bc8bc9f22bc2.jpg</v>
      </c>
      <c r="B1747" s="5" t="s">
        <v>1747</v>
      </c>
    </row>
    <row r="1748" spans="1:2" x14ac:dyDescent="0.2">
      <c r="A1748" s="4" t="str">
        <f>HYPERLINK("http://cdn.wpsstatic.com/images/full/9dee-5bc8bc9f22bc2.jpg", "http://cdn.wpsstatic.com/images/full/9dee-5bc8bc9f22bc2.jpg")</f>
        <v>http://cdn.wpsstatic.com/images/full/9dee-5bc8bc9f22bc2.jpg</v>
      </c>
      <c r="B1748" s="5" t="s">
        <v>1748</v>
      </c>
    </row>
    <row r="1749" spans="1:2" x14ac:dyDescent="0.2">
      <c r="A1749" s="4" t="str">
        <f>HYPERLINK("http://cdn.wpsstatic.com/images/full/9dee-5bc8bc9f22bc2.jpg", "http://cdn.wpsstatic.com/images/full/9dee-5bc8bc9f22bc2.jpg")</f>
        <v>http://cdn.wpsstatic.com/images/full/9dee-5bc8bc9f22bc2.jpg</v>
      </c>
      <c r="B1749" s="5" t="s">
        <v>1749</v>
      </c>
    </row>
    <row r="1750" spans="1:2" x14ac:dyDescent="0.2">
      <c r="A1750" s="4" t="str">
        <f>HYPERLINK("http://cdn.wpsstatic.com/images/full/9dee-5bc8bc9f22bc2.jpg", "http://cdn.wpsstatic.com/images/full/9dee-5bc8bc9f22bc2.jpg")</f>
        <v>http://cdn.wpsstatic.com/images/full/9dee-5bc8bc9f22bc2.jpg</v>
      </c>
      <c r="B1750" s="5" t="s">
        <v>1750</v>
      </c>
    </row>
    <row r="1751" spans="1:2" x14ac:dyDescent="0.2">
      <c r="A1751" s="4" t="str">
        <f>HYPERLINK("http://cdn.wpsstatic.com/images/full/9dee-5bc8bc9f22bc2.jpg", "http://cdn.wpsstatic.com/images/full/9dee-5bc8bc9f22bc2.jpg")</f>
        <v>http://cdn.wpsstatic.com/images/full/9dee-5bc8bc9f22bc2.jpg</v>
      </c>
      <c r="B1751" s="5" t="s">
        <v>1751</v>
      </c>
    </row>
    <row r="1752" spans="1:2" x14ac:dyDescent="0.2">
      <c r="A1752" s="4" t="str">
        <f>HYPERLINK("http://cdn.wpsstatic.com/images/full/9dee-5bc8bc9f22bc2.jpg", "http://cdn.wpsstatic.com/images/full/9dee-5bc8bc9f22bc2.jpg")</f>
        <v>http://cdn.wpsstatic.com/images/full/9dee-5bc8bc9f22bc2.jpg</v>
      </c>
      <c r="B1752" s="5" t="s">
        <v>1752</v>
      </c>
    </row>
    <row r="1753" spans="1:2" x14ac:dyDescent="0.2">
      <c r="A1753" s="4" t="str">
        <f>HYPERLINK("http://cdn.wpsstatic.com/images/full/9dee-5bc8bc9f22bc2.jpg", "http://cdn.wpsstatic.com/images/full/9dee-5bc8bc9f22bc2.jpg")</f>
        <v>http://cdn.wpsstatic.com/images/full/9dee-5bc8bc9f22bc2.jpg</v>
      </c>
      <c r="B1753" s="5" t="s">
        <v>1753</v>
      </c>
    </row>
    <row r="1754" spans="1:2" x14ac:dyDescent="0.2">
      <c r="A1754" s="4" t="str">
        <f>HYPERLINK("http://cdn.wpsstatic.com/images/full/9dee-5bc8bc9f22bc2.jpg", "http://cdn.wpsstatic.com/images/full/9dee-5bc8bc9f22bc2.jpg")</f>
        <v>http://cdn.wpsstatic.com/images/full/9dee-5bc8bc9f22bc2.jpg</v>
      </c>
      <c r="B1754" s="5" t="s">
        <v>1754</v>
      </c>
    </row>
    <row r="1755" spans="1:2" x14ac:dyDescent="0.2">
      <c r="A1755" s="4" t="str">
        <f>HYPERLINK("http://cdn.wpsstatic.com/images/full/9dee-5bc8bc9f22bc2.jpg", "http://cdn.wpsstatic.com/images/full/9dee-5bc8bc9f22bc2.jpg")</f>
        <v>http://cdn.wpsstatic.com/images/full/9dee-5bc8bc9f22bc2.jpg</v>
      </c>
      <c r="B1755" s="5" t="s">
        <v>1755</v>
      </c>
    </row>
    <row r="1756" spans="1:2" x14ac:dyDescent="0.2">
      <c r="A1756" s="4" t="str">
        <f>HYPERLINK("http://cdn.wpsstatic.com/images/full/9dee-5bc8bc9f22bc2.jpg", "http://cdn.wpsstatic.com/images/full/9dee-5bc8bc9f22bc2.jpg")</f>
        <v>http://cdn.wpsstatic.com/images/full/9dee-5bc8bc9f22bc2.jpg</v>
      </c>
      <c r="B1756" s="5" t="s">
        <v>1756</v>
      </c>
    </row>
    <row r="1757" spans="1:2" x14ac:dyDescent="0.2">
      <c r="A1757" s="4" t="str">
        <f>HYPERLINK("http://cdn.wpsstatic.com/images/full/9dee-5bc8bc9f22bc2.jpg", "http://cdn.wpsstatic.com/images/full/9dee-5bc8bc9f22bc2.jpg")</f>
        <v>http://cdn.wpsstatic.com/images/full/9dee-5bc8bc9f22bc2.jpg</v>
      </c>
      <c r="B1757" s="5" t="s">
        <v>1757</v>
      </c>
    </row>
    <row r="1758" spans="1:2" x14ac:dyDescent="0.2">
      <c r="A1758" s="4" t="str">
        <f>HYPERLINK("http://cdn.wpsstatic.com/images/full/9dee-5bc8bc9f22bc2.jpg", "http://cdn.wpsstatic.com/images/full/9dee-5bc8bc9f22bc2.jpg")</f>
        <v>http://cdn.wpsstatic.com/images/full/9dee-5bc8bc9f22bc2.jpg</v>
      </c>
      <c r="B1758" s="5" t="s">
        <v>1758</v>
      </c>
    </row>
    <row r="1759" spans="1:2" x14ac:dyDescent="0.2">
      <c r="A1759" s="4" t="str">
        <f>HYPERLINK("http://cdn.wpsstatic.com/images/full/9dee-5bc8bc9f22bc2.jpg", "http://cdn.wpsstatic.com/images/full/9dee-5bc8bc9f22bc2.jpg")</f>
        <v>http://cdn.wpsstatic.com/images/full/9dee-5bc8bc9f22bc2.jpg</v>
      </c>
      <c r="B1759" s="5" t="s">
        <v>1759</v>
      </c>
    </row>
    <row r="1760" spans="1:2" x14ac:dyDescent="0.2">
      <c r="A1760" s="4" t="str">
        <f>HYPERLINK("http://cdn.wpsstatic.com/images/full/9dee-5bc8bc9f22bc2.jpg", "http://cdn.wpsstatic.com/images/full/9dee-5bc8bc9f22bc2.jpg")</f>
        <v>http://cdn.wpsstatic.com/images/full/9dee-5bc8bc9f22bc2.jpg</v>
      </c>
      <c r="B1760" s="5" t="s">
        <v>1760</v>
      </c>
    </row>
    <row r="1761" spans="1:2" x14ac:dyDescent="0.2">
      <c r="A1761" s="4" t="str">
        <f>HYPERLINK("http://cdn.wpsstatic.com/images/full/9dee-5bc8bc9f22bc2.jpg", "http://cdn.wpsstatic.com/images/full/9dee-5bc8bc9f22bc2.jpg")</f>
        <v>http://cdn.wpsstatic.com/images/full/9dee-5bc8bc9f22bc2.jpg</v>
      </c>
      <c r="B1761" s="5" t="s">
        <v>1761</v>
      </c>
    </row>
    <row r="1762" spans="1:2" x14ac:dyDescent="0.2">
      <c r="A1762" s="4" t="str">
        <f>HYPERLINK("http://cdn.wpsstatic.com/images/full/9dee-5bc8bc9f22bc2.jpg", "http://cdn.wpsstatic.com/images/full/9dee-5bc8bc9f22bc2.jpg")</f>
        <v>http://cdn.wpsstatic.com/images/full/9dee-5bc8bc9f22bc2.jpg</v>
      </c>
      <c r="B1762" s="5" t="s">
        <v>1762</v>
      </c>
    </row>
    <row r="1763" spans="1:2" x14ac:dyDescent="0.2">
      <c r="A1763" s="4" t="str">
        <f>HYPERLINK("http://cdn.wpsstatic.com/images/full/9dee-5bc8bc9f22bc2.jpg", "http://cdn.wpsstatic.com/images/full/9dee-5bc8bc9f22bc2.jpg")</f>
        <v>http://cdn.wpsstatic.com/images/full/9dee-5bc8bc9f22bc2.jpg</v>
      </c>
      <c r="B1763" s="5" t="s">
        <v>1763</v>
      </c>
    </row>
    <row r="1764" spans="1:2" x14ac:dyDescent="0.2">
      <c r="A1764" s="4" t="str">
        <f>HYPERLINK("http://cdn.wpsstatic.com/images/full/9dee-5bc8bc9f22bc2.jpg", "http://cdn.wpsstatic.com/images/full/9dee-5bc8bc9f22bc2.jpg")</f>
        <v>http://cdn.wpsstatic.com/images/full/9dee-5bc8bc9f22bc2.jpg</v>
      </c>
      <c r="B1764" s="5" t="s">
        <v>1764</v>
      </c>
    </row>
    <row r="1765" spans="1:2" x14ac:dyDescent="0.2">
      <c r="A1765" s="4" t="str">
        <f>HYPERLINK("http://cdn.wpsstatic.com/images/full/9dee-5bc8bc9f22bc2.jpg", "http://cdn.wpsstatic.com/images/full/9dee-5bc8bc9f22bc2.jpg")</f>
        <v>http://cdn.wpsstatic.com/images/full/9dee-5bc8bc9f22bc2.jpg</v>
      </c>
      <c r="B1765" s="5" t="s">
        <v>1765</v>
      </c>
    </row>
    <row r="1766" spans="1:2" x14ac:dyDescent="0.2">
      <c r="A1766" s="4" t="str">
        <f>HYPERLINK("http://cdn.wpsstatic.com/images/full/9dee-5bc8bc9f22bc2.jpg", "http://cdn.wpsstatic.com/images/full/9dee-5bc8bc9f22bc2.jpg")</f>
        <v>http://cdn.wpsstatic.com/images/full/9dee-5bc8bc9f22bc2.jpg</v>
      </c>
      <c r="B1766" s="5" t="s">
        <v>1766</v>
      </c>
    </row>
    <row r="1767" spans="1:2" x14ac:dyDescent="0.2">
      <c r="A1767" s="4" t="str">
        <f>HYPERLINK("http://cdn.wpsstatic.com/images/full/9dee-5bc8bc9f22bc2.jpg", "http://cdn.wpsstatic.com/images/full/9dee-5bc8bc9f22bc2.jpg")</f>
        <v>http://cdn.wpsstatic.com/images/full/9dee-5bc8bc9f22bc2.jpg</v>
      </c>
      <c r="B1767" s="5" t="s">
        <v>1767</v>
      </c>
    </row>
    <row r="1768" spans="1:2" x14ac:dyDescent="0.2">
      <c r="A1768" s="4" t="str">
        <f>HYPERLINK("http://cdn.wpsstatic.com/images/full/9dee-5bc8bc9f22bc2.jpg", "http://cdn.wpsstatic.com/images/full/9dee-5bc8bc9f22bc2.jpg")</f>
        <v>http://cdn.wpsstatic.com/images/full/9dee-5bc8bc9f22bc2.jpg</v>
      </c>
      <c r="B1768" s="5" t="s">
        <v>1768</v>
      </c>
    </row>
    <row r="1769" spans="1:2" x14ac:dyDescent="0.2">
      <c r="A1769" s="4" t="str">
        <f>HYPERLINK("http://cdn.wpsstatic.com/images/full/9dee-5bc8bc9f22bc2.jpg", "http://cdn.wpsstatic.com/images/full/9dee-5bc8bc9f22bc2.jpg")</f>
        <v>http://cdn.wpsstatic.com/images/full/9dee-5bc8bc9f22bc2.jpg</v>
      </c>
      <c r="B1769" s="5" t="s">
        <v>1769</v>
      </c>
    </row>
    <row r="1770" spans="1:2" x14ac:dyDescent="0.2">
      <c r="A1770" s="4" t="str">
        <f>HYPERLINK("http://cdn.wpsstatic.com/images/full/9dee-5bc8bc9f22bc2.jpg", "http://cdn.wpsstatic.com/images/full/9dee-5bc8bc9f22bc2.jpg")</f>
        <v>http://cdn.wpsstatic.com/images/full/9dee-5bc8bc9f22bc2.jpg</v>
      </c>
      <c r="B1770" s="5" t="s">
        <v>1770</v>
      </c>
    </row>
    <row r="1771" spans="1:2" x14ac:dyDescent="0.2">
      <c r="A1771" s="4" t="str">
        <f>HYPERLINK("http://cdn.wpsstatic.com/images/full/9dee-5bc8bc9f22bc2.jpg", "http://cdn.wpsstatic.com/images/full/9dee-5bc8bc9f22bc2.jpg")</f>
        <v>http://cdn.wpsstatic.com/images/full/9dee-5bc8bc9f22bc2.jpg</v>
      </c>
      <c r="B1771" s="5" t="s">
        <v>1771</v>
      </c>
    </row>
    <row r="1772" spans="1:2" x14ac:dyDescent="0.2">
      <c r="A1772" s="4" t="str">
        <f>HYPERLINK("http://cdn.wpsstatic.com/images/full/9dee-5bc8bc9f22bc2.jpg", "http://cdn.wpsstatic.com/images/full/9dee-5bc8bc9f22bc2.jpg")</f>
        <v>http://cdn.wpsstatic.com/images/full/9dee-5bc8bc9f22bc2.jpg</v>
      </c>
      <c r="B1772" s="5" t="s">
        <v>1772</v>
      </c>
    </row>
    <row r="1773" spans="1:2" x14ac:dyDescent="0.2">
      <c r="A1773" s="4" t="str">
        <f>HYPERLINK("http://cdn.wpsstatic.com/images/full/9dee-5bc8bc9f22bc2.jpg", "http://cdn.wpsstatic.com/images/full/9dee-5bc8bc9f22bc2.jpg")</f>
        <v>http://cdn.wpsstatic.com/images/full/9dee-5bc8bc9f22bc2.jpg</v>
      </c>
      <c r="B1773" s="5" t="s">
        <v>1773</v>
      </c>
    </row>
    <row r="1774" spans="1:2" x14ac:dyDescent="0.2">
      <c r="A1774" s="4" t="str">
        <f>HYPERLINK("http://cdn.wpsstatic.com/images/full/9dee-5bc8bc9f22bc2.jpg", "http://cdn.wpsstatic.com/images/full/9dee-5bc8bc9f22bc2.jpg")</f>
        <v>http://cdn.wpsstatic.com/images/full/9dee-5bc8bc9f22bc2.jpg</v>
      </c>
      <c r="B1774" s="5" t="s">
        <v>1774</v>
      </c>
    </row>
    <row r="1775" spans="1:2" x14ac:dyDescent="0.2">
      <c r="A1775" s="4" t="str">
        <f>HYPERLINK("http://cdn.wpsstatic.com/images/full/9dee-5bc8bc9f22bc2.jpg", "http://cdn.wpsstatic.com/images/full/9dee-5bc8bc9f22bc2.jpg")</f>
        <v>http://cdn.wpsstatic.com/images/full/9dee-5bc8bc9f22bc2.jpg</v>
      </c>
      <c r="B1775" s="5" t="s">
        <v>1775</v>
      </c>
    </row>
    <row r="1776" spans="1:2" x14ac:dyDescent="0.2">
      <c r="A1776" s="4" t="str">
        <f>HYPERLINK("http://cdn.wpsstatic.com/images/full/9df3-572a54cf6f6e1.jpg", "http://cdn.wpsstatic.com/images/full/9df3-572a54cf6f6e1.jpg")</f>
        <v>http://cdn.wpsstatic.com/images/full/9df3-572a54cf6f6e1.jpg</v>
      </c>
      <c r="B1776" s="5" t="s">
        <v>1776</v>
      </c>
    </row>
    <row r="1777" spans="1:2" x14ac:dyDescent="0.2">
      <c r="A1777" s="4" t="str">
        <f>HYPERLINK("http://cdn.wpsstatic.com/images/full/9e03-572a54cb3b4b4.jpg", "http://cdn.wpsstatic.com/images/full/9e03-572a54cb3b4b4.jpg")</f>
        <v>http://cdn.wpsstatic.com/images/full/9e03-572a54cb3b4b4.jpg</v>
      </c>
      <c r="B1777" s="5" t="s">
        <v>1777</v>
      </c>
    </row>
    <row r="1778" spans="1:2" x14ac:dyDescent="0.2">
      <c r="A1778" s="4" t="str">
        <f>HYPERLINK("http://cdn.wpsstatic.com/images/full/9e1c-6040fd9b0cdda.jpg", "http://cdn.wpsstatic.com/images/full/9e1c-6040fd9b0cdda.jpg")</f>
        <v>http://cdn.wpsstatic.com/images/full/9e1c-6040fd9b0cdda.jpg</v>
      </c>
      <c r="B1778" s="5" t="s">
        <v>1778</v>
      </c>
    </row>
    <row r="1779" spans="1:2" x14ac:dyDescent="0.2">
      <c r="A1779" s="4" t="str">
        <f>HYPERLINK("http://cdn.wpsstatic.com/images/full/9e30-603e8f12bfc35.jpg", "http://cdn.wpsstatic.com/images/full/9e30-603e8f12bfc35.jpg")</f>
        <v>http://cdn.wpsstatic.com/images/full/9e30-603e8f12bfc35.jpg</v>
      </c>
      <c r="B1779" s="5" t="s">
        <v>1779</v>
      </c>
    </row>
    <row r="1780" spans="1:2" x14ac:dyDescent="0.2">
      <c r="A1780" s="4" t="str">
        <f>HYPERLINK("http://cdn.wpsstatic.com/images/full/9e32-60a6ab6bc94a0.png", "http://cdn.wpsstatic.com/images/full/9e32-60a6ab6bc94a0.png")</f>
        <v>http://cdn.wpsstatic.com/images/full/9e32-60a6ab6bc94a0.png</v>
      </c>
      <c r="B1780" s="5" t="s">
        <v>1780</v>
      </c>
    </row>
    <row r="1781" spans="1:2" x14ac:dyDescent="0.2">
      <c r="A1781" s="4" t="str">
        <f>HYPERLINK("http://cdn.wpsstatic.com/images/full/9e64-5d029aed244ab.jpg", "http://cdn.wpsstatic.com/images/full/9e64-5d029aed244ab.jpg")</f>
        <v>http://cdn.wpsstatic.com/images/full/9e64-5d029aed244ab.jpg</v>
      </c>
      <c r="B1781" s="5" t="s">
        <v>1781</v>
      </c>
    </row>
    <row r="1782" spans="1:2" x14ac:dyDescent="0.2">
      <c r="A1782" s="4" t="str">
        <f>HYPERLINK("http://cdn.wpsstatic.com/images/full/9e85-5885c2249365b.jpg", "http://cdn.wpsstatic.com/images/full/9e85-5885c2249365b.jpg")</f>
        <v>http://cdn.wpsstatic.com/images/full/9e85-5885c2249365b.jpg</v>
      </c>
      <c r="B1782" s="5" t="s">
        <v>1782</v>
      </c>
    </row>
    <row r="1783" spans="1:2" x14ac:dyDescent="0.2">
      <c r="A1783" s="4" t="str">
        <f>HYPERLINK("http://cdn.wpsstatic.com/images/full/9ea3-572a539cd20b9.jpg", "http://cdn.wpsstatic.com/images/full/9ea3-572a539cd20b9.jpg")</f>
        <v>http://cdn.wpsstatic.com/images/full/9ea3-572a539cd20b9.jpg</v>
      </c>
      <c r="B1783" s="5" t="s">
        <v>1783</v>
      </c>
    </row>
    <row r="1784" spans="1:2" x14ac:dyDescent="0.2">
      <c r="A1784" s="4" t="str">
        <f>HYPERLINK("http://cdn.wpsstatic.com/images/full/9ee1-5e023a3d3cb77.jpg", "http://cdn.wpsstatic.com/images/full/9ee1-5e023a3d3cb77.jpg")</f>
        <v>http://cdn.wpsstatic.com/images/full/9ee1-5e023a3d3cb77.jpg</v>
      </c>
      <c r="B1784" s="5" t="s">
        <v>1784</v>
      </c>
    </row>
    <row r="1785" spans="1:2" x14ac:dyDescent="0.2">
      <c r="A1785" s="4" t="str">
        <f>HYPERLINK("http://cdn.wpsstatic.com/images/full/9ee6-572a5422ae37f.jpg", "http://cdn.wpsstatic.com/images/full/9ee6-572a5422ae37f.jpg")</f>
        <v>http://cdn.wpsstatic.com/images/full/9ee6-572a5422ae37f.jpg</v>
      </c>
      <c r="B1785" s="5" t="s">
        <v>1785</v>
      </c>
    </row>
    <row r="1786" spans="1:2" x14ac:dyDescent="0.2">
      <c r="A1786" s="4" t="str">
        <f>HYPERLINK("http://cdn.wpsstatic.com/images/full/9f01-572a557fa3ce7.jpg", "http://cdn.wpsstatic.com/images/full/9f01-572a557fa3ce7.jpg")</f>
        <v>http://cdn.wpsstatic.com/images/full/9f01-572a557fa3ce7.jpg</v>
      </c>
      <c r="B1786" s="5" t="s">
        <v>1786</v>
      </c>
    </row>
    <row r="1787" spans="1:2" x14ac:dyDescent="0.2">
      <c r="A1787" s="4" t="str">
        <f>HYPERLINK("http://cdn.wpsstatic.com/images/full/9f09-572a534eb87d1.jpg", "http://cdn.wpsstatic.com/images/full/9f09-572a534eb87d1.jpg")</f>
        <v>http://cdn.wpsstatic.com/images/full/9f09-572a534eb87d1.jpg</v>
      </c>
      <c r="B1787" s="5" t="s">
        <v>1787</v>
      </c>
    </row>
    <row r="1788" spans="1:2" x14ac:dyDescent="0.2">
      <c r="A1788" s="4" t="str">
        <f>HYPERLINK("http://cdn.wpsstatic.com/images/full/9f27-572a53e487f5e.jpg", "http://cdn.wpsstatic.com/images/full/9f27-572a53e487f5e.jpg")</f>
        <v>http://cdn.wpsstatic.com/images/full/9f27-572a53e487f5e.jpg</v>
      </c>
      <c r="B1788" s="5" t="s">
        <v>1788</v>
      </c>
    </row>
    <row r="1789" spans="1:2" x14ac:dyDescent="0.2">
      <c r="A1789" s="4" t="str">
        <f>HYPERLINK("http://cdn.wpsstatic.com/images/full/9f4e-5d0297555f49e.jpg", "http://cdn.wpsstatic.com/images/full/9f4e-5d0297555f49e.jpg")</f>
        <v>http://cdn.wpsstatic.com/images/full/9f4e-5d0297555f49e.jpg</v>
      </c>
      <c r="B1789" s="5" t="s">
        <v>1789</v>
      </c>
    </row>
    <row r="1790" spans="1:2" x14ac:dyDescent="0.2">
      <c r="A1790" s="4" t="str">
        <f>HYPERLINK("http://cdn.wpsstatic.com/images/full/9fa3-572a542561723.jpg", "http://cdn.wpsstatic.com/images/full/9fa3-572a542561723.jpg")</f>
        <v>http://cdn.wpsstatic.com/images/full/9fa3-572a542561723.jpg</v>
      </c>
      <c r="B1790" s="5" t="s">
        <v>1790</v>
      </c>
    </row>
    <row r="1791" spans="1:2" x14ac:dyDescent="0.2">
      <c r="A1791" s="4" t="str">
        <f>HYPERLINK("http://cdn.wpsstatic.com/images/full/9fce-572a543cc016f.jpg", "http://cdn.wpsstatic.com/images/full/9fce-572a543cc016f.jpg")</f>
        <v>http://cdn.wpsstatic.com/images/full/9fce-572a543cc016f.jpg</v>
      </c>
      <c r="B1791" s="5" t="s">
        <v>1791</v>
      </c>
    </row>
    <row r="1792" spans="1:2" x14ac:dyDescent="0.2">
      <c r="A1792" s="4" t="str">
        <f>HYPERLINK("http://cdn.wpsstatic.com/images/full/9fe1-572a5488eb53a.jpg", "http://cdn.wpsstatic.com/images/full/9fe1-572a5488eb53a.jpg")</f>
        <v>http://cdn.wpsstatic.com/images/full/9fe1-572a5488eb53a.jpg</v>
      </c>
      <c r="B1792" s="5" t="s">
        <v>1792</v>
      </c>
    </row>
    <row r="1793" spans="1:2" x14ac:dyDescent="0.2">
      <c r="A1793" s="4" t="str">
        <f>HYPERLINK("http://cdn.wpsstatic.com/images/full/a019-5d16847799ef8.jpg", "http://cdn.wpsstatic.com/images/full/a019-5d16847799ef8.jpg")</f>
        <v>http://cdn.wpsstatic.com/images/full/a019-5d16847799ef8.jpg</v>
      </c>
      <c r="B1793" s="5" t="s">
        <v>1793</v>
      </c>
    </row>
    <row r="1794" spans="1:2" x14ac:dyDescent="0.2">
      <c r="A1794" s="4" t="str">
        <f>HYPERLINK("http://cdn.wpsstatic.com/images/full/a02c-5d029aa8f053b.jpg", "http://cdn.wpsstatic.com/images/full/a02c-5d029aa8f053b.jpg")</f>
        <v>http://cdn.wpsstatic.com/images/full/a02c-5d029aa8f053b.jpg</v>
      </c>
      <c r="B1794" s="5" t="s">
        <v>1794</v>
      </c>
    </row>
    <row r="1795" spans="1:2" x14ac:dyDescent="0.2">
      <c r="A1795" s="4" t="str">
        <f>HYPERLINK("http://cdn.wpsstatic.com/images/full/a039-572a52c00e451.jpg", "http://cdn.wpsstatic.com/images/full/a039-572a52c00e451.jpg")</f>
        <v>http://cdn.wpsstatic.com/images/full/a039-572a52c00e451.jpg</v>
      </c>
      <c r="B1795" s="5" t="s">
        <v>1795</v>
      </c>
    </row>
    <row r="1796" spans="1:2" x14ac:dyDescent="0.2">
      <c r="A1796" s="4" t="str">
        <f>HYPERLINK("http://cdn.wpsstatic.com/images/full/a0be-572a55b12757b.jpg", "http://cdn.wpsstatic.com/images/full/a0be-572a55b12757b.jpg")</f>
        <v>http://cdn.wpsstatic.com/images/full/a0be-572a55b12757b.jpg</v>
      </c>
      <c r="B1796" s="5" t="s">
        <v>1796</v>
      </c>
    </row>
    <row r="1797" spans="1:2" x14ac:dyDescent="0.2">
      <c r="A1797" s="4" t="str">
        <f>HYPERLINK("http://cdn.wpsstatic.com/images/full/a0c3-572a55092f5e3.jpg", "http://cdn.wpsstatic.com/images/full/a0c3-572a55092f5e3.jpg")</f>
        <v>http://cdn.wpsstatic.com/images/full/a0c3-572a55092f5e3.jpg</v>
      </c>
      <c r="B1797" s="5" t="s">
        <v>1797</v>
      </c>
    </row>
    <row r="1798" spans="1:2" x14ac:dyDescent="0.2">
      <c r="A1798" s="4" t="str">
        <f>HYPERLINK("http://cdn.wpsstatic.com/images/full/a0e5-572a52be1d9fb.jpg", "http://cdn.wpsstatic.com/images/full/a0e5-572a52be1d9fb.jpg")</f>
        <v>http://cdn.wpsstatic.com/images/full/a0e5-572a52be1d9fb.jpg</v>
      </c>
      <c r="B1798" s="5" t="s">
        <v>1798</v>
      </c>
    </row>
    <row r="1799" spans="1:2" x14ac:dyDescent="0.2">
      <c r="A1799" s="4" t="str">
        <f>HYPERLINK("http://cdn.wpsstatic.com/images/full/a12a-5d1684a832f1b.jpg", "http://cdn.wpsstatic.com/images/full/a12a-5d1684a832f1b.jpg")</f>
        <v>http://cdn.wpsstatic.com/images/full/a12a-5d1684a832f1b.jpg</v>
      </c>
      <c r="B1799" s="5" t="s">
        <v>1799</v>
      </c>
    </row>
    <row r="1800" spans="1:2" x14ac:dyDescent="0.2">
      <c r="A1800" s="4" t="str">
        <f>HYPERLINK("http://cdn.wpsstatic.com/images/full/a13e-63643b2930f17.png", "http://cdn.wpsstatic.com/images/full/a13e-63643b2930f17.png")</f>
        <v>http://cdn.wpsstatic.com/images/full/a13e-63643b2930f17.png</v>
      </c>
      <c r="B1800" s="5" t="s">
        <v>1800</v>
      </c>
    </row>
    <row r="1801" spans="1:2" x14ac:dyDescent="0.2">
      <c r="A1801" s="4" t="str">
        <f>HYPERLINK("http://cdn.wpsstatic.com/images/full/a151-5d79014491436.jpg", "http://cdn.wpsstatic.com/images/full/a151-5d79014491436.jpg")</f>
        <v>http://cdn.wpsstatic.com/images/full/a151-5d79014491436.jpg</v>
      </c>
      <c r="B1801" s="5" t="s">
        <v>1801</v>
      </c>
    </row>
    <row r="1802" spans="1:2" x14ac:dyDescent="0.2">
      <c r="A1802" s="4" t="str">
        <f>HYPERLINK("http://cdn.wpsstatic.com/images/full/a175-5d029535c9e1a.jpg", "http://cdn.wpsstatic.com/images/full/a175-5d029535c9e1a.jpg")</f>
        <v>http://cdn.wpsstatic.com/images/full/a175-5d029535c9e1a.jpg</v>
      </c>
      <c r="B1802" s="5" t="s">
        <v>1802</v>
      </c>
    </row>
    <row r="1803" spans="1:2" x14ac:dyDescent="0.2">
      <c r="A1803" s="4" t="str">
        <f>HYPERLINK("http://cdn.wpsstatic.com/images/full/a17b-604105109425c.jpg", "http://cdn.wpsstatic.com/images/full/a17b-604105109425c.jpg")</f>
        <v>http://cdn.wpsstatic.com/images/full/a17b-604105109425c.jpg</v>
      </c>
      <c r="B1803" s="5" t="s">
        <v>1803</v>
      </c>
    </row>
    <row r="1804" spans="1:2" x14ac:dyDescent="0.2">
      <c r="A1804" s="4" t="str">
        <f>HYPERLINK("http://cdn.wpsstatic.com/images/full/a1e0-5d02947ee0f2b.jpg", "http://cdn.wpsstatic.com/images/full/a1e0-5d02947ee0f2b.jpg")</f>
        <v>http://cdn.wpsstatic.com/images/full/a1e0-5d02947ee0f2b.jpg</v>
      </c>
      <c r="B1804" s="5" t="s">
        <v>1804</v>
      </c>
    </row>
    <row r="1805" spans="1:2" x14ac:dyDescent="0.2">
      <c r="A1805" s="4" t="str">
        <f>HYPERLINK("http://cdn.wpsstatic.com/images/full/a1e2-572a53de66c20.jpg", "http://cdn.wpsstatic.com/images/full/a1e2-572a53de66c20.jpg")</f>
        <v>http://cdn.wpsstatic.com/images/full/a1e2-572a53de66c20.jpg</v>
      </c>
      <c r="B1805" s="5" t="s">
        <v>1805</v>
      </c>
    </row>
    <row r="1806" spans="1:2" x14ac:dyDescent="0.2">
      <c r="A1806" s="4" t="str">
        <f>HYPERLINK("http://cdn.wpsstatic.com/images/full/a1ee-572a5456817c8.jpg", "http://cdn.wpsstatic.com/images/full/a1ee-572a5456817c8.jpg")</f>
        <v>http://cdn.wpsstatic.com/images/full/a1ee-572a5456817c8.jpg</v>
      </c>
      <c r="B1806" s="5" t="s">
        <v>1806</v>
      </c>
    </row>
    <row r="1807" spans="1:2" x14ac:dyDescent="0.2">
      <c r="A1807" s="4" t="str">
        <f>HYPERLINK("http://cdn.wpsstatic.com/images/full/a1f1-5d16845de6b65.jpg", "http://cdn.wpsstatic.com/images/full/a1f1-5d16845de6b65.jpg")</f>
        <v>http://cdn.wpsstatic.com/images/full/a1f1-5d16845de6b65.jpg</v>
      </c>
      <c r="B1807" s="5" t="s">
        <v>1807</v>
      </c>
    </row>
    <row r="1808" spans="1:2" x14ac:dyDescent="0.2">
      <c r="A1808" s="4" t="str">
        <f>HYPERLINK("http://cdn.wpsstatic.com/images/full/a1f3-572a53b905ab6.jpg", "http://cdn.wpsstatic.com/images/full/a1f3-572a53b905ab6.jpg")</f>
        <v>http://cdn.wpsstatic.com/images/full/a1f3-572a53b905ab6.jpg</v>
      </c>
      <c r="B1808" s="5" t="s">
        <v>1808</v>
      </c>
    </row>
    <row r="1809" spans="1:2" x14ac:dyDescent="0.2">
      <c r="A1809" s="4" t="str">
        <f>HYPERLINK("http://cdn.wpsstatic.com/images/full/a213-572a554c31479.jpg", "http://cdn.wpsstatic.com/images/full/a213-572a554c31479.jpg")</f>
        <v>http://cdn.wpsstatic.com/images/full/a213-572a554c31479.jpg</v>
      </c>
      <c r="B1809" s="5" t="s">
        <v>1809</v>
      </c>
    </row>
    <row r="1810" spans="1:2" x14ac:dyDescent="0.2">
      <c r="A1810" s="4" t="str">
        <f>HYPERLINK("http://cdn.wpsstatic.com/images/full/a247-572a537047e6d.jpg", "http://cdn.wpsstatic.com/images/full/a247-572a537047e6d.jpg")</f>
        <v>http://cdn.wpsstatic.com/images/full/a247-572a537047e6d.jpg</v>
      </c>
      <c r="B1810" s="5" t="s">
        <v>1810</v>
      </c>
    </row>
    <row r="1811" spans="1:2" x14ac:dyDescent="0.2">
      <c r="A1811" s="4" t="str">
        <f>HYPERLINK("http://cdn.wpsstatic.com/images/full/a247-572a5595d2f48.jpg", "http://cdn.wpsstatic.com/images/full/a247-572a5595d2f48.jpg")</f>
        <v>http://cdn.wpsstatic.com/images/full/a247-572a5595d2f48.jpg</v>
      </c>
      <c r="B1811" s="5" t="s">
        <v>1811</v>
      </c>
    </row>
    <row r="1812" spans="1:2" x14ac:dyDescent="0.2">
      <c r="A1812" s="4" t="str">
        <f>HYPERLINK("http://cdn.wpsstatic.com/images/full/a262-5d029c05cb680.jpg", "http://cdn.wpsstatic.com/images/full/a262-5d029c05cb680.jpg")</f>
        <v>http://cdn.wpsstatic.com/images/full/a262-5d029c05cb680.jpg</v>
      </c>
      <c r="B1812" s="5" t="s">
        <v>1812</v>
      </c>
    </row>
    <row r="1813" spans="1:2" x14ac:dyDescent="0.2">
      <c r="A1813" s="4" t="str">
        <f>HYPERLINK("http://cdn.wpsstatic.com/images/full/a26f-572a54a7706e3.jpg", "http://cdn.wpsstatic.com/images/full/a26f-572a54a7706e3.jpg")</f>
        <v>http://cdn.wpsstatic.com/images/full/a26f-572a54a7706e3.jpg</v>
      </c>
      <c r="B1813" s="5" t="s">
        <v>1813</v>
      </c>
    </row>
    <row r="1814" spans="1:2" x14ac:dyDescent="0.2">
      <c r="A1814" s="4" t="str">
        <f>HYPERLINK("http://cdn.wpsstatic.com/images/full/a27c-5fb44ed622377.jpg", "http://cdn.wpsstatic.com/images/full/a27c-5fb44ed622377.jpg")</f>
        <v>http://cdn.wpsstatic.com/images/full/a27c-5fb44ed622377.jpg</v>
      </c>
      <c r="B1814" s="5" t="s">
        <v>1814</v>
      </c>
    </row>
    <row r="1815" spans="1:2" x14ac:dyDescent="0.2">
      <c r="A1815" s="4" t="str">
        <f>HYPERLINK("http://cdn.wpsstatic.com/images/full/a283-572a53ffd6a25.jpg", "http://cdn.wpsstatic.com/images/full/a283-572a53ffd6a25.jpg")</f>
        <v>http://cdn.wpsstatic.com/images/full/a283-572a53ffd6a25.jpg</v>
      </c>
      <c r="B1815" s="5" t="s">
        <v>1815</v>
      </c>
    </row>
    <row r="1816" spans="1:2" x14ac:dyDescent="0.2">
      <c r="A1816" s="4" t="str">
        <f>HYPERLINK("http://cdn.wpsstatic.com/images/full/a285-572a54e2064f0.jpg", "http://cdn.wpsstatic.com/images/full/a285-572a54e2064f0.jpg")</f>
        <v>http://cdn.wpsstatic.com/images/full/a285-572a54e2064f0.jpg</v>
      </c>
      <c r="B1816" s="5" t="s">
        <v>1816</v>
      </c>
    </row>
    <row r="1817" spans="1:2" x14ac:dyDescent="0.2">
      <c r="A1817" s="4" t="str">
        <f>HYPERLINK("http://cdn.wpsstatic.com/images/full/a288-572a55341a342.jpg", "http://cdn.wpsstatic.com/images/full/a288-572a55341a342.jpg")</f>
        <v>http://cdn.wpsstatic.com/images/full/a288-572a55341a342.jpg</v>
      </c>
      <c r="B1817" s="5" t="s">
        <v>1817</v>
      </c>
    </row>
    <row r="1818" spans="1:2" x14ac:dyDescent="0.2">
      <c r="A1818" s="4" t="str">
        <f>HYPERLINK("http://cdn.wpsstatic.com/images/full/a290-572a55153685e.jpg", "http://cdn.wpsstatic.com/images/full/a290-572a55153685e.jpg")</f>
        <v>http://cdn.wpsstatic.com/images/full/a290-572a55153685e.jpg</v>
      </c>
      <c r="B1818" s="5" t="s">
        <v>1818</v>
      </c>
    </row>
    <row r="1819" spans="1:2" x14ac:dyDescent="0.2">
      <c r="A1819" s="4" t="str">
        <f>HYPERLINK("http://cdn.wpsstatic.com/images/full/a295-572a53a0bc705.jpg", "http://cdn.wpsstatic.com/images/full/a295-572a53a0bc705.jpg")</f>
        <v>http://cdn.wpsstatic.com/images/full/a295-572a53a0bc705.jpg</v>
      </c>
      <c r="B1819" s="5" t="s">
        <v>1819</v>
      </c>
    </row>
    <row r="1820" spans="1:2" x14ac:dyDescent="0.2">
      <c r="A1820" s="4" t="str">
        <f>HYPERLINK("http://cdn.wpsstatic.com/images/full/a29b-572a54643cdcc.jpg", "http://cdn.wpsstatic.com/images/full/a29b-572a54643cdcc.jpg")</f>
        <v>http://cdn.wpsstatic.com/images/full/a29b-572a54643cdcc.jpg</v>
      </c>
      <c r="B1820" s="5" t="s">
        <v>1820</v>
      </c>
    </row>
    <row r="1821" spans="1:2" x14ac:dyDescent="0.2">
      <c r="A1821" s="4" t="str">
        <f>HYPERLINK("http://cdn.wpsstatic.com/images/full/a2ac-572a53581667b.jpg", "http://cdn.wpsstatic.com/images/full/a2ac-572a53581667b.jpg")</f>
        <v>http://cdn.wpsstatic.com/images/full/a2ac-572a53581667b.jpg</v>
      </c>
      <c r="B1821" s="5" t="s">
        <v>1821</v>
      </c>
    </row>
    <row r="1822" spans="1:2" x14ac:dyDescent="0.2">
      <c r="A1822" s="4" t="str">
        <f>HYPERLINK("http://cdn.wpsstatic.com/images/full/a2c8-572a53146dc88.jpg", "http://cdn.wpsstatic.com/images/full/a2c8-572a53146dc88.jpg")</f>
        <v>http://cdn.wpsstatic.com/images/full/a2c8-572a53146dc88.jpg</v>
      </c>
      <c r="B1822" s="5" t="s">
        <v>1822</v>
      </c>
    </row>
    <row r="1823" spans="1:2" x14ac:dyDescent="0.2">
      <c r="A1823" s="4" t="str">
        <f>HYPERLINK("http://cdn.wpsstatic.com/images/full/a2c8-572a53146dc88.jpg", "http://cdn.wpsstatic.com/images/full/a2c8-572a53146dc88.jpg")</f>
        <v>http://cdn.wpsstatic.com/images/full/a2c8-572a53146dc88.jpg</v>
      </c>
      <c r="B1823" s="5" t="s">
        <v>1823</v>
      </c>
    </row>
    <row r="1824" spans="1:2" x14ac:dyDescent="0.2">
      <c r="A1824" s="4" t="str">
        <f>HYPERLINK("http://cdn.wpsstatic.com/images/full/a2c8-572a53146dc88.jpg", "http://cdn.wpsstatic.com/images/full/a2c8-572a53146dc88.jpg")</f>
        <v>http://cdn.wpsstatic.com/images/full/a2c8-572a53146dc88.jpg</v>
      </c>
      <c r="B1824" s="5" t="s">
        <v>1824</v>
      </c>
    </row>
    <row r="1825" spans="1:2" x14ac:dyDescent="0.2">
      <c r="A1825" s="4" t="str">
        <f>HYPERLINK("http://cdn.wpsstatic.com/images/full/a2c8-572a53146dc88.jpg", "http://cdn.wpsstatic.com/images/full/a2c8-572a53146dc88.jpg")</f>
        <v>http://cdn.wpsstatic.com/images/full/a2c8-572a53146dc88.jpg</v>
      </c>
      <c r="B1825" s="5" t="s">
        <v>1825</v>
      </c>
    </row>
    <row r="1826" spans="1:2" x14ac:dyDescent="0.2">
      <c r="A1826" s="4" t="str">
        <f>HYPERLINK("http://cdn.wpsstatic.com/images/full/a2c8-572a53146dc88.jpg", "http://cdn.wpsstatic.com/images/full/a2c8-572a53146dc88.jpg")</f>
        <v>http://cdn.wpsstatic.com/images/full/a2c8-572a53146dc88.jpg</v>
      </c>
      <c r="B1826" s="5" t="s">
        <v>1826</v>
      </c>
    </row>
    <row r="1827" spans="1:2" x14ac:dyDescent="0.2">
      <c r="A1827" s="4" t="str">
        <f>HYPERLINK("http://cdn.wpsstatic.com/images/full/a2c8-5f57835510256.jpg", "http://cdn.wpsstatic.com/images/full/a2c8-5f57835510256.jpg")</f>
        <v>http://cdn.wpsstatic.com/images/full/a2c8-5f57835510256.jpg</v>
      </c>
      <c r="B1827" s="5" t="s">
        <v>1827</v>
      </c>
    </row>
    <row r="1828" spans="1:2" x14ac:dyDescent="0.2">
      <c r="A1828" s="4" t="str">
        <f>HYPERLINK("http://cdn.wpsstatic.com/images/full/a2e7-60bfdc6949dad.png", "http://cdn.wpsstatic.com/images/full/a2e7-60bfdc6949dad.png")</f>
        <v>http://cdn.wpsstatic.com/images/full/a2e7-60bfdc6949dad.png</v>
      </c>
      <c r="B1828" s="5" t="s">
        <v>1828</v>
      </c>
    </row>
    <row r="1829" spans="1:2" x14ac:dyDescent="0.2">
      <c r="A1829" s="4" t="str">
        <f>HYPERLINK("http://cdn.wpsstatic.com/images/full/a2f5-572a549ca6779.jpg", "http://cdn.wpsstatic.com/images/full/a2f5-572a549ca6779.jpg")</f>
        <v>http://cdn.wpsstatic.com/images/full/a2f5-572a549ca6779.jpg</v>
      </c>
      <c r="B1829" s="5" t="s">
        <v>1829</v>
      </c>
    </row>
    <row r="1830" spans="1:2" x14ac:dyDescent="0.2">
      <c r="A1830" s="4" t="str">
        <f>HYPERLINK("http://cdn.wpsstatic.com/images/full/a330-572a559cdc870.jpg", "http://cdn.wpsstatic.com/images/full/a330-572a559cdc870.jpg")</f>
        <v>http://cdn.wpsstatic.com/images/full/a330-572a559cdc870.jpg</v>
      </c>
      <c r="B1830" s="5" t="s">
        <v>1830</v>
      </c>
    </row>
    <row r="1831" spans="1:2" x14ac:dyDescent="0.2">
      <c r="A1831" s="4" t="str">
        <f>HYPERLINK("http://cdn.wpsstatic.com/images/full/a387-572a5567bef89.jpg", "http://cdn.wpsstatic.com/images/full/a387-572a5567bef89.jpg")</f>
        <v>http://cdn.wpsstatic.com/images/full/a387-572a5567bef89.jpg</v>
      </c>
      <c r="B1831" s="5" t="s">
        <v>1831</v>
      </c>
    </row>
    <row r="1832" spans="1:2" x14ac:dyDescent="0.2">
      <c r="A1832" s="4" t="str">
        <f>HYPERLINK("http://cdn.wpsstatic.com/images/full/a39e-5d0290142bdd3.jpg", "http://cdn.wpsstatic.com/images/full/a39e-5d0290142bdd3.jpg")</f>
        <v>http://cdn.wpsstatic.com/images/full/a39e-5d0290142bdd3.jpg</v>
      </c>
      <c r="B1832" s="5" t="s">
        <v>1832</v>
      </c>
    </row>
    <row r="1833" spans="1:2" x14ac:dyDescent="0.2">
      <c r="A1833" s="4" t="str">
        <f>HYPERLINK("http://cdn.wpsstatic.com/images/full/a3a4-572a558891ce5.jpg", "http://cdn.wpsstatic.com/images/full/a3a4-572a558891ce5.jpg")</f>
        <v>http://cdn.wpsstatic.com/images/full/a3a4-572a558891ce5.jpg</v>
      </c>
      <c r="B1833" s="5" t="s">
        <v>1833</v>
      </c>
    </row>
    <row r="1834" spans="1:2" x14ac:dyDescent="0.2">
      <c r="A1834" s="4" t="str">
        <f>HYPERLINK("http://cdn.wpsstatic.com/images/full/a3bf-5885c24695497.jpg", "http://cdn.wpsstatic.com/images/full/a3bf-5885c24695497.jpg")</f>
        <v>http://cdn.wpsstatic.com/images/full/a3bf-5885c24695497.jpg</v>
      </c>
      <c r="B1834" s="5" t="s">
        <v>1834</v>
      </c>
    </row>
    <row r="1835" spans="1:2" x14ac:dyDescent="0.2">
      <c r="A1835" s="4" t="str">
        <f>HYPERLINK("http://cdn.wpsstatic.com/images/full/a3e2-572a53f51ad4d.jpg", "http://cdn.wpsstatic.com/images/full/a3e2-572a53f51ad4d.jpg")</f>
        <v>http://cdn.wpsstatic.com/images/full/a3e2-572a53f51ad4d.jpg</v>
      </c>
      <c r="B1835" s="5" t="s">
        <v>1835</v>
      </c>
    </row>
    <row r="1836" spans="1:2" x14ac:dyDescent="0.2">
      <c r="A1836" s="4" t="str">
        <f>HYPERLINK("http://cdn.wpsstatic.com/images/full/a40e-572a564464d38.jpg", "http://cdn.wpsstatic.com/images/full/a40e-572a564464d38.jpg")</f>
        <v>http://cdn.wpsstatic.com/images/full/a40e-572a564464d38.jpg</v>
      </c>
      <c r="B1836" s="5" t="s">
        <v>1836</v>
      </c>
    </row>
    <row r="1837" spans="1:2" x14ac:dyDescent="0.2">
      <c r="A1837" s="4" t="str">
        <f>HYPERLINK("http://cdn.wpsstatic.com/images/full/a414-572a5272bb829.jpg", "http://cdn.wpsstatic.com/images/full/a414-572a5272bb829.jpg")</f>
        <v>http://cdn.wpsstatic.com/images/full/a414-572a5272bb829.jpg</v>
      </c>
      <c r="B1837" s="5" t="s">
        <v>1837</v>
      </c>
    </row>
    <row r="1838" spans="1:2" x14ac:dyDescent="0.2">
      <c r="A1838" s="4" t="str">
        <f>HYPERLINK("http://cdn.wpsstatic.com/images/full/a447-572a52772d77a.jpg", "http://cdn.wpsstatic.com/images/full/a447-572a52772d77a.jpg")</f>
        <v>http://cdn.wpsstatic.com/images/full/a447-572a52772d77a.jpg</v>
      </c>
      <c r="B1838" s="5" t="s">
        <v>1838</v>
      </c>
    </row>
    <row r="1839" spans="1:2" x14ac:dyDescent="0.2">
      <c r="A1839" s="4" t="str">
        <f>HYPERLINK("http://cdn.wpsstatic.com/images/full/a45d-572a542d19680.jpg", "http://cdn.wpsstatic.com/images/full/a45d-572a542d19680.jpg")</f>
        <v>http://cdn.wpsstatic.com/images/full/a45d-572a542d19680.jpg</v>
      </c>
      <c r="B1839" s="5" t="s">
        <v>1839</v>
      </c>
    </row>
    <row r="1840" spans="1:2" x14ac:dyDescent="0.2">
      <c r="A1840" s="4" t="str">
        <f>HYPERLINK("http://cdn.wpsstatic.com/images/full/a490-572a530aa7f1b.jpg", "http://cdn.wpsstatic.com/images/full/a490-572a530aa7f1b.jpg")</f>
        <v>http://cdn.wpsstatic.com/images/full/a490-572a530aa7f1b.jpg</v>
      </c>
      <c r="B1840" s="5" t="s">
        <v>1840</v>
      </c>
    </row>
    <row r="1841" spans="1:2" x14ac:dyDescent="0.2">
      <c r="A1841" s="4" t="str">
        <f>HYPERLINK("http://cdn.wpsstatic.com/images/full/a4af-572a531abd784.jpg", "http://cdn.wpsstatic.com/images/full/a4af-572a531abd784.jpg")</f>
        <v>http://cdn.wpsstatic.com/images/full/a4af-572a531abd784.jpg</v>
      </c>
      <c r="B1841" s="5" t="s">
        <v>1841</v>
      </c>
    </row>
    <row r="1842" spans="1:2" x14ac:dyDescent="0.2">
      <c r="A1842" s="4" t="str">
        <f>HYPERLINK("http://cdn.wpsstatic.com/images/full/a4df-572a55a07c4ce.jpg", "http://cdn.wpsstatic.com/images/full/a4df-572a55a07c4ce.jpg")</f>
        <v>http://cdn.wpsstatic.com/images/full/a4df-572a55a07c4ce.jpg</v>
      </c>
      <c r="B1842" s="5" t="s">
        <v>1842</v>
      </c>
    </row>
    <row r="1843" spans="1:2" x14ac:dyDescent="0.2">
      <c r="A1843" s="4" t="str">
        <f>HYPERLINK("http://cdn.wpsstatic.com/images/full/a519-572a5508a8e01.jpg", "http://cdn.wpsstatic.com/images/full/a519-572a5508a8e01.jpg")</f>
        <v>http://cdn.wpsstatic.com/images/full/a519-572a5508a8e01.jpg</v>
      </c>
      <c r="B1843" s="5" t="s">
        <v>1843</v>
      </c>
    </row>
    <row r="1844" spans="1:2" x14ac:dyDescent="0.2">
      <c r="A1844" s="4" t="str">
        <f>HYPERLINK("http://cdn.wpsstatic.com/images/full/a556-572a55a33b327.jpg", "http://cdn.wpsstatic.com/images/full/a556-572a55a33b327.jpg")</f>
        <v>http://cdn.wpsstatic.com/images/full/a556-572a55a33b327.jpg</v>
      </c>
      <c r="B1844" s="5" t="s">
        <v>1844</v>
      </c>
    </row>
    <row r="1845" spans="1:2" x14ac:dyDescent="0.2">
      <c r="A1845" s="4" t="str">
        <f>HYPERLINK("http://cdn.wpsstatic.com/images/full/a59f-572a5317e1a9c.jpg", "http://cdn.wpsstatic.com/images/full/a59f-572a5317e1a9c.jpg")</f>
        <v>http://cdn.wpsstatic.com/images/full/a59f-572a5317e1a9c.jpg</v>
      </c>
      <c r="B1845" s="5" t="s">
        <v>1845</v>
      </c>
    </row>
    <row r="1846" spans="1:2" x14ac:dyDescent="0.2">
      <c r="A1846" s="4" t="str">
        <f>HYPERLINK("http://cdn.wpsstatic.com/images/full/a5a4-572a5333594ac.jpg", "http://cdn.wpsstatic.com/images/full/a5a4-572a5333594ac.jpg")</f>
        <v>http://cdn.wpsstatic.com/images/full/a5a4-572a5333594ac.jpg</v>
      </c>
      <c r="B1846" s="5" t="s">
        <v>1846</v>
      </c>
    </row>
    <row r="1847" spans="1:2" x14ac:dyDescent="0.2">
      <c r="A1847" s="4" t="str">
        <f>HYPERLINK("http://cdn.wpsstatic.com/images/full/a5a4-572a5333594ac.jpg", "http://cdn.wpsstatic.com/images/full/a5a4-572a5333594ac.jpg")</f>
        <v>http://cdn.wpsstatic.com/images/full/a5a4-572a5333594ac.jpg</v>
      </c>
      <c r="B1847" s="5" t="s">
        <v>1847</v>
      </c>
    </row>
    <row r="1848" spans="1:2" x14ac:dyDescent="0.2">
      <c r="A1848" s="4" t="str">
        <f>HYPERLINK("http://cdn.wpsstatic.com/images/full/a5a7-572a546c8dd68.jpg", "http://cdn.wpsstatic.com/images/full/a5a7-572a546c8dd68.jpg")</f>
        <v>http://cdn.wpsstatic.com/images/full/a5a7-572a546c8dd68.jpg</v>
      </c>
      <c r="B1848" s="5" t="s">
        <v>1848</v>
      </c>
    </row>
    <row r="1849" spans="1:2" x14ac:dyDescent="0.2">
      <c r="A1849" s="4" t="str">
        <f>HYPERLINK("http://cdn.wpsstatic.com/images/full/a5c4-5fb44f9a33bef.jpg", "http://cdn.wpsstatic.com/images/full/a5c4-5fb44f9a33bef.jpg")</f>
        <v>http://cdn.wpsstatic.com/images/full/a5c4-5fb44f9a33bef.jpg</v>
      </c>
      <c r="B1849" s="5" t="s">
        <v>1849</v>
      </c>
    </row>
    <row r="1850" spans="1:2" x14ac:dyDescent="0.2">
      <c r="A1850" s="4" t="str">
        <f>HYPERLINK("http://cdn.wpsstatic.com/images/full/a625-572a54b87ef15.jpg", "http://cdn.wpsstatic.com/images/full/a625-572a54b87ef15.jpg")</f>
        <v>http://cdn.wpsstatic.com/images/full/a625-572a54b87ef15.jpg</v>
      </c>
      <c r="B1850" s="5" t="s">
        <v>1850</v>
      </c>
    </row>
    <row r="1851" spans="1:2" x14ac:dyDescent="0.2">
      <c r="A1851" s="4" t="str">
        <f>HYPERLINK("http://cdn.wpsstatic.com/images/full/a637-572a5503e955a.jpg", "http://cdn.wpsstatic.com/images/full/a637-572a5503e955a.jpg")</f>
        <v>http://cdn.wpsstatic.com/images/full/a637-572a5503e955a.jpg</v>
      </c>
      <c r="B1851" s="5" t="s">
        <v>1851</v>
      </c>
    </row>
    <row r="1852" spans="1:2" x14ac:dyDescent="0.2">
      <c r="A1852" s="4" t="str">
        <f>HYPERLINK("http://cdn.wpsstatic.com/images/full/a656-5fb4442c37f0b.jpg", "http://cdn.wpsstatic.com/images/full/a656-5fb4442c37f0b.jpg")</f>
        <v>http://cdn.wpsstatic.com/images/full/a656-5fb4442c37f0b.jpg</v>
      </c>
      <c r="B1852" s="5" t="s">
        <v>1852</v>
      </c>
    </row>
    <row r="1853" spans="1:2" x14ac:dyDescent="0.2">
      <c r="A1853" s="4" t="str">
        <f>HYPERLINK("http://cdn.wpsstatic.com/images/full/a670-6171d848c3f5e.png", "http://cdn.wpsstatic.com/images/full/a670-6171d848c3f5e.png")</f>
        <v>http://cdn.wpsstatic.com/images/full/a670-6171d848c3f5e.png</v>
      </c>
      <c r="B1853" s="5" t="s">
        <v>1853</v>
      </c>
    </row>
    <row r="1854" spans="1:2" x14ac:dyDescent="0.2">
      <c r="A1854" s="4" t="str">
        <f>HYPERLINK("http://cdn.wpsstatic.com/images/full/a67e-5e023a62ee0ec.jpg", "http://cdn.wpsstatic.com/images/full/a67e-5e023a62ee0ec.jpg")</f>
        <v>http://cdn.wpsstatic.com/images/full/a67e-5e023a62ee0ec.jpg</v>
      </c>
      <c r="B1854" s="5" t="s">
        <v>1854</v>
      </c>
    </row>
    <row r="1855" spans="1:2" x14ac:dyDescent="0.2">
      <c r="A1855" s="4" t="str">
        <f>HYPERLINK("http://cdn.wpsstatic.com/images/full/a682-5fb44915d1b75.jpg", "http://cdn.wpsstatic.com/images/full/a682-5fb44915d1b75.jpg")</f>
        <v>http://cdn.wpsstatic.com/images/full/a682-5fb44915d1b75.jpg</v>
      </c>
      <c r="B1855" s="5" t="s">
        <v>1855</v>
      </c>
    </row>
    <row r="1856" spans="1:2" x14ac:dyDescent="0.2">
      <c r="A1856" s="4" t="str">
        <f>HYPERLINK("http://cdn.wpsstatic.com/images/full/a6b5-572a5558006c4.jpg", "http://cdn.wpsstatic.com/images/full/a6b5-572a5558006c4.jpg")</f>
        <v>http://cdn.wpsstatic.com/images/full/a6b5-572a5558006c4.jpg</v>
      </c>
      <c r="B1856" s="5" t="s">
        <v>1856</v>
      </c>
    </row>
    <row r="1857" spans="1:2" x14ac:dyDescent="0.2">
      <c r="A1857" s="4" t="str">
        <f>HYPERLINK("http://cdn.wpsstatic.com/images/full/a6c5-572a54ffe2155.jpg", "http://cdn.wpsstatic.com/images/full/a6c5-572a54ffe2155.jpg")</f>
        <v>http://cdn.wpsstatic.com/images/full/a6c5-572a54ffe2155.jpg</v>
      </c>
      <c r="B1857" s="5" t="s">
        <v>1857</v>
      </c>
    </row>
    <row r="1858" spans="1:2" x14ac:dyDescent="0.2">
      <c r="A1858" s="4" t="str">
        <f>HYPERLINK("http://cdn.wpsstatic.com/images/full/a6d5-6171d6c0a7b58.png", "http://cdn.wpsstatic.com/images/full/a6d5-6171d6c0a7b58.png")</f>
        <v>http://cdn.wpsstatic.com/images/full/a6d5-6171d6c0a7b58.png</v>
      </c>
      <c r="B1858" s="5" t="s">
        <v>1858</v>
      </c>
    </row>
    <row r="1859" spans="1:2" x14ac:dyDescent="0.2">
      <c r="A1859" s="4" t="str">
        <f>HYPERLINK("http://cdn.wpsstatic.com/images/full/a6da-572a525bde93c.jpg", "http://cdn.wpsstatic.com/images/full/a6da-572a525bde93c.jpg")</f>
        <v>http://cdn.wpsstatic.com/images/full/a6da-572a525bde93c.jpg</v>
      </c>
      <c r="B1859" s="5" t="s">
        <v>1859</v>
      </c>
    </row>
    <row r="1860" spans="1:2" x14ac:dyDescent="0.2">
      <c r="A1860" s="4" t="str">
        <f>HYPERLINK("http://cdn.wpsstatic.com/images/full/a6e9-572a54b69f2fe.jpg", "http://cdn.wpsstatic.com/images/full/a6e9-572a54b69f2fe.jpg")</f>
        <v>http://cdn.wpsstatic.com/images/full/a6e9-572a54b69f2fe.jpg</v>
      </c>
      <c r="B1860" s="5" t="s">
        <v>1860</v>
      </c>
    </row>
    <row r="1861" spans="1:2" x14ac:dyDescent="0.2">
      <c r="A1861" s="4" t="str">
        <f>HYPERLINK("http://cdn.wpsstatic.com/images/full/a725-5d79051adecbc.jpg", "http://cdn.wpsstatic.com/images/full/a725-5d79051adecbc.jpg")</f>
        <v>http://cdn.wpsstatic.com/images/full/a725-5d79051adecbc.jpg</v>
      </c>
      <c r="B1861" s="5" t="s">
        <v>1861</v>
      </c>
    </row>
    <row r="1862" spans="1:2" x14ac:dyDescent="0.2">
      <c r="A1862" s="4" t="str">
        <f>HYPERLINK("http://cdn.wpsstatic.com/images/full/a725-5fb44d7291602.jpg", "http://cdn.wpsstatic.com/images/full/a725-5fb44d7291602.jpg")</f>
        <v>http://cdn.wpsstatic.com/images/full/a725-5fb44d7291602.jpg</v>
      </c>
      <c r="B1862" s="5" t="s">
        <v>1862</v>
      </c>
    </row>
    <row r="1863" spans="1:2" x14ac:dyDescent="0.2">
      <c r="A1863" s="4" t="str">
        <f>HYPERLINK("http://cdn.wpsstatic.com/images/full/a7a0-572a538cd988d.jpg", "http://cdn.wpsstatic.com/images/full/a7a0-572a538cd988d.jpg")</f>
        <v>http://cdn.wpsstatic.com/images/full/a7a0-572a538cd988d.jpg</v>
      </c>
      <c r="B1863" s="5" t="s">
        <v>1863</v>
      </c>
    </row>
    <row r="1864" spans="1:2" x14ac:dyDescent="0.2">
      <c r="A1864" s="4" t="str">
        <f>HYPERLINK("http://cdn.wpsstatic.com/images/full/a7f4-572a524b1bf4a.jpg", "http://cdn.wpsstatic.com/images/full/a7f4-572a524b1bf4a.jpg")</f>
        <v>http://cdn.wpsstatic.com/images/full/a7f4-572a524b1bf4a.jpg</v>
      </c>
      <c r="B1864" s="5" t="s">
        <v>1864</v>
      </c>
    </row>
    <row r="1865" spans="1:2" x14ac:dyDescent="0.2">
      <c r="A1865" s="4" t="str">
        <f>HYPERLINK("http://cdn.wpsstatic.com/images/full/a7fd-572a55576b7fa.jpg", "http://cdn.wpsstatic.com/images/full/a7fd-572a55576b7fa.jpg")</f>
        <v>http://cdn.wpsstatic.com/images/full/a7fd-572a55576b7fa.jpg</v>
      </c>
      <c r="B1865" s="5" t="s">
        <v>1865</v>
      </c>
    </row>
    <row r="1866" spans="1:2" x14ac:dyDescent="0.2">
      <c r="A1866" s="4" t="str">
        <f>HYPERLINK("http://cdn.wpsstatic.com/images/full/a81b-5d0294f5255e1.jpg", "http://cdn.wpsstatic.com/images/full/a81b-5d0294f5255e1.jpg")</f>
        <v>http://cdn.wpsstatic.com/images/full/a81b-5d0294f5255e1.jpg</v>
      </c>
      <c r="B1866" s="5" t="s">
        <v>1866</v>
      </c>
    </row>
    <row r="1867" spans="1:2" x14ac:dyDescent="0.2">
      <c r="A1867" s="4" t="str">
        <f>HYPERLINK("http://cdn.wpsstatic.com/images/full/a869-572a53906d7e2.jpg", "http://cdn.wpsstatic.com/images/full/a869-572a53906d7e2.jpg")</f>
        <v>http://cdn.wpsstatic.com/images/full/a869-572a53906d7e2.jpg</v>
      </c>
      <c r="B1867" s="5" t="s">
        <v>1867</v>
      </c>
    </row>
    <row r="1868" spans="1:2" x14ac:dyDescent="0.2">
      <c r="A1868" s="4" t="str">
        <f>HYPERLINK("http://cdn.wpsstatic.com/images/full/a896-572a547341990.jpg", "http://cdn.wpsstatic.com/images/full/a896-572a547341990.jpg")</f>
        <v>http://cdn.wpsstatic.com/images/full/a896-572a547341990.jpg</v>
      </c>
      <c r="B1868" s="5" t="s">
        <v>1868</v>
      </c>
    </row>
    <row r="1869" spans="1:2" x14ac:dyDescent="0.2">
      <c r="A1869" s="4" t="str">
        <f>HYPERLINK("http://cdn.wpsstatic.com/images/full/a8a1-5885c2007e678.jpg", "http://cdn.wpsstatic.com/images/full/a8a1-5885c2007e678.jpg")</f>
        <v>http://cdn.wpsstatic.com/images/full/a8a1-5885c2007e678.jpg</v>
      </c>
      <c r="B1869" s="5" t="s">
        <v>1869</v>
      </c>
    </row>
    <row r="1870" spans="1:2" x14ac:dyDescent="0.2">
      <c r="A1870" s="4" t="str">
        <f>HYPERLINK("http://cdn.wpsstatic.com/images/full/a8c5-572a539debfe7.jpg", "http://cdn.wpsstatic.com/images/full/a8c5-572a539debfe7.jpg")</f>
        <v>http://cdn.wpsstatic.com/images/full/a8c5-572a539debfe7.jpg</v>
      </c>
      <c r="B1870" s="5" t="s">
        <v>1870</v>
      </c>
    </row>
    <row r="1871" spans="1:2" x14ac:dyDescent="0.2">
      <c r="A1871" s="4" t="str">
        <f>HYPERLINK("http://cdn.wpsstatic.com/images/full/a920-572a55aa519f4.jpg", "http://cdn.wpsstatic.com/images/full/a920-572a55aa519f4.jpg")</f>
        <v>http://cdn.wpsstatic.com/images/full/a920-572a55aa519f4.jpg</v>
      </c>
      <c r="B1871" s="5" t="s">
        <v>1871</v>
      </c>
    </row>
    <row r="1872" spans="1:2" x14ac:dyDescent="0.2">
      <c r="A1872" s="4" t="str">
        <f>HYPERLINK("http://cdn.wpsstatic.com/images/full/a923-572a542da144c.jpg", "http://cdn.wpsstatic.com/images/full/a923-572a542da144c.jpg")</f>
        <v>http://cdn.wpsstatic.com/images/full/a923-572a542da144c.jpg</v>
      </c>
      <c r="B1872" s="5" t="s">
        <v>1872</v>
      </c>
    </row>
    <row r="1873" spans="1:2" x14ac:dyDescent="0.2">
      <c r="A1873" s="4" t="str">
        <f>HYPERLINK("http://cdn.wpsstatic.com/images/full/a954-603e8ff56ae1b.jpg", "http://cdn.wpsstatic.com/images/full/a954-603e8ff56ae1b.jpg")</f>
        <v>http://cdn.wpsstatic.com/images/full/a954-603e8ff56ae1b.jpg</v>
      </c>
      <c r="B1873" s="5" t="s">
        <v>1873</v>
      </c>
    </row>
    <row r="1874" spans="1:2" x14ac:dyDescent="0.2">
      <c r="A1874" s="4" t="str">
        <f>HYPERLINK("http://cdn.wpsstatic.com/images/full/a965-572a549948fd6.jpg", "http://cdn.wpsstatic.com/images/full/a965-572a549948fd6.jpg")</f>
        <v>http://cdn.wpsstatic.com/images/full/a965-572a549948fd6.jpg</v>
      </c>
      <c r="B1874" s="5" t="s">
        <v>1874</v>
      </c>
    </row>
    <row r="1875" spans="1:2" x14ac:dyDescent="0.2">
      <c r="A1875" s="4" t="str">
        <f>HYPERLINK("http://cdn.wpsstatic.com/images/full/a9ae-63643b28c1792.png", "http://cdn.wpsstatic.com/images/full/a9ae-63643b28c1792.png")</f>
        <v>http://cdn.wpsstatic.com/images/full/a9ae-63643b28c1792.png</v>
      </c>
      <c r="B1875" s="5" t="s">
        <v>1875</v>
      </c>
    </row>
    <row r="1876" spans="1:2" x14ac:dyDescent="0.2">
      <c r="A1876" s="4" t="str">
        <f>HYPERLINK("http://cdn.wpsstatic.com/images/full/a9c8-572a535c851e4.jpg", "http://cdn.wpsstatic.com/images/full/a9c8-572a535c851e4.jpg")</f>
        <v>http://cdn.wpsstatic.com/images/full/a9c8-572a535c851e4.jpg</v>
      </c>
      <c r="B1876" s="5" t="s">
        <v>1876</v>
      </c>
    </row>
    <row r="1877" spans="1:2" x14ac:dyDescent="0.2">
      <c r="A1877" s="4" t="str">
        <f>HYPERLINK("http://cdn.wpsstatic.com/images/full/aa23-572a543b0968a.jpg", "http://cdn.wpsstatic.com/images/full/aa23-572a543b0968a.jpg")</f>
        <v>http://cdn.wpsstatic.com/images/full/aa23-572a543b0968a.jpg</v>
      </c>
      <c r="B1877" s="5" t="s">
        <v>1877</v>
      </c>
    </row>
    <row r="1878" spans="1:2" x14ac:dyDescent="0.2">
      <c r="A1878" s="4" t="str">
        <f>HYPERLINK("http://cdn.wpsstatic.com/images/full/aa37-572a54688aebf.jpg", "http://cdn.wpsstatic.com/images/full/aa37-572a54688aebf.jpg")</f>
        <v>http://cdn.wpsstatic.com/images/full/aa37-572a54688aebf.jpg</v>
      </c>
      <c r="B1878" s="5" t="s">
        <v>1878</v>
      </c>
    </row>
    <row r="1879" spans="1:2" x14ac:dyDescent="0.2">
      <c r="A1879" s="4" t="str">
        <f>HYPERLINK("http://cdn.wpsstatic.com/images/full/aa3b-572a549316108.jpg", "http://cdn.wpsstatic.com/images/full/aa3b-572a549316108.jpg")</f>
        <v>http://cdn.wpsstatic.com/images/full/aa3b-572a549316108.jpg</v>
      </c>
      <c r="B1879" s="5" t="s">
        <v>1879</v>
      </c>
    </row>
    <row r="1880" spans="1:2" x14ac:dyDescent="0.2">
      <c r="A1880" s="4" t="str">
        <f>HYPERLINK("http://cdn.wpsstatic.com/images/full/aa5a-60a6abe3bb9bb.png", "http://cdn.wpsstatic.com/images/full/aa5a-60a6abe3bb9bb.png")</f>
        <v>http://cdn.wpsstatic.com/images/full/aa5a-60a6abe3bb9bb.png</v>
      </c>
      <c r="B1880" s="5" t="s">
        <v>1880</v>
      </c>
    </row>
    <row r="1881" spans="1:2" x14ac:dyDescent="0.2">
      <c r="A1881" s="4" t="str">
        <f>HYPERLINK("http://cdn.wpsstatic.com/images/full/aa5c-572a5418d81ef.jpg", "http://cdn.wpsstatic.com/images/full/aa5c-572a5418d81ef.jpg")</f>
        <v>http://cdn.wpsstatic.com/images/full/aa5c-572a5418d81ef.jpg</v>
      </c>
      <c r="B1881" s="5" t="s">
        <v>1881</v>
      </c>
    </row>
    <row r="1882" spans="1:2" x14ac:dyDescent="0.2">
      <c r="A1882" s="4" t="str">
        <f>HYPERLINK("http://cdn.wpsstatic.com/images/full/aa64-63643b28bc50b.png", "http://cdn.wpsstatic.com/images/full/aa64-63643b28bc50b.png")</f>
        <v>http://cdn.wpsstatic.com/images/full/aa64-63643b28bc50b.png</v>
      </c>
      <c r="B1882" s="5" t="s">
        <v>1882</v>
      </c>
    </row>
    <row r="1883" spans="1:2" x14ac:dyDescent="0.2">
      <c r="A1883" s="4" t="str">
        <f>HYPERLINK("http://cdn.wpsstatic.com/images/full/aaa8-572a55797686c.jpg", "http://cdn.wpsstatic.com/images/full/aaa8-572a55797686c.jpg")</f>
        <v>http://cdn.wpsstatic.com/images/full/aaa8-572a55797686c.jpg</v>
      </c>
      <c r="B1883" s="5" t="s">
        <v>1883</v>
      </c>
    </row>
    <row r="1884" spans="1:2" x14ac:dyDescent="0.2">
      <c r="A1884" s="4" t="str">
        <f>HYPERLINK("http://cdn.wpsstatic.com/images/full/aab1-5d028e9dcd378.jpg", "http://cdn.wpsstatic.com/images/full/aab1-5d028e9dcd378.jpg")</f>
        <v>http://cdn.wpsstatic.com/images/full/aab1-5d028e9dcd378.jpg</v>
      </c>
      <c r="B1884" s="5" t="s">
        <v>1884</v>
      </c>
    </row>
    <row r="1885" spans="1:2" x14ac:dyDescent="0.2">
      <c r="A1885" s="4" t="str">
        <f>HYPERLINK("http://cdn.wpsstatic.com/images/full/aad9-572a53f6c2839.jpg", "http://cdn.wpsstatic.com/images/full/aad9-572a53f6c2839.jpg")</f>
        <v>http://cdn.wpsstatic.com/images/full/aad9-572a53f6c2839.jpg</v>
      </c>
      <c r="B1885" s="5" t="s">
        <v>1885</v>
      </c>
    </row>
    <row r="1886" spans="1:2" x14ac:dyDescent="0.2">
      <c r="A1886" s="4" t="str">
        <f>HYPERLINK("http://cdn.wpsstatic.com/images/full/aaf3-572a74ffd4163.jpg", "http://cdn.wpsstatic.com/images/full/aaf3-572a74ffd4163.jpg")</f>
        <v>http://cdn.wpsstatic.com/images/full/aaf3-572a74ffd4163.jpg</v>
      </c>
      <c r="B1886" s="5" t="s">
        <v>1886</v>
      </c>
    </row>
    <row r="1887" spans="1:2" x14ac:dyDescent="0.2">
      <c r="A1887" s="4" t="str">
        <f>HYPERLINK("http://cdn.wpsstatic.com/images/full/ab06-572a549b6e5c3.jpg", "http://cdn.wpsstatic.com/images/full/ab06-572a549b6e5c3.jpg")</f>
        <v>http://cdn.wpsstatic.com/images/full/ab06-572a549b6e5c3.jpg</v>
      </c>
      <c r="B1887" s="5" t="s">
        <v>1887</v>
      </c>
    </row>
    <row r="1888" spans="1:2" x14ac:dyDescent="0.2">
      <c r="A1888" s="4" t="str">
        <f>HYPERLINK("http://cdn.wpsstatic.com/images/full/ab10-572a54846818c.jpg", "http://cdn.wpsstatic.com/images/full/ab10-572a54846818c.jpg")</f>
        <v>http://cdn.wpsstatic.com/images/full/ab10-572a54846818c.jpg</v>
      </c>
      <c r="B1888" s="5" t="s">
        <v>1888</v>
      </c>
    </row>
    <row r="1889" spans="1:2" x14ac:dyDescent="0.2">
      <c r="A1889" s="4" t="str">
        <f>HYPERLINK("http://cdn.wpsstatic.com/images/full/ab16-572a554408410.jpg", "http://cdn.wpsstatic.com/images/full/ab16-572a554408410.jpg")</f>
        <v>http://cdn.wpsstatic.com/images/full/ab16-572a554408410.jpg</v>
      </c>
      <c r="B1889" s="5" t="s">
        <v>1889</v>
      </c>
    </row>
    <row r="1890" spans="1:2" x14ac:dyDescent="0.2">
      <c r="A1890" s="4" t="str">
        <f>HYPERLINK("http://cdn.wpsstatic.com/images/full/ab19-572a5316676f9.jpg", "http://cdn.wpsstatic.com/images/full/ab19-572a5316676f9.jpg")</f>
        <v>http://cdn.wpsstatic.com/images/full/ab19-572a5316676f9.jpg</v>
      </c>
      <c r="B1890" s="5" t="s">
        <v>1890</v>
      </c>
    </row>
    <row r="1891" spans="1:2" x14ac:dyDescent="0.2">
      <c r="A1891" s="4" t="str">
        <f>HYPERLINK("http://cdn.wpsstatic.com/images/full/ab1b-5d028df265dc0.jpg", "http://cdn.wpsstatic.com/images/full/ab1b-5d028df265dc0.jpg")</f>
        <v>http://cdn.wpsstatic.com/images/full/ab1b-5d028df265dc0.jpg</v>
      </c>
      <c r="B1891" s="5" t="s">
        <v>1891</v>
      </c>
    </row>
    <row r="1892" spans="1:2" x14ac:dyDescent="0.2">
      <c r="A1892" s="4" t="str">
        <f>HYPERLINK("http://cdn.wpsstatic.com/images/full/ab5a-572a53a846ed9.jpg", "http://cdn.wpsstatic.com/images/full/ab5a-572a53a846ed9.jpg")</f>
        <v>http://cdn.wpsstatic.com/images/full/ab5a-572a53a846ed9.jpg</v>
      </c>
      <c r="B1892" s="5" t="s">
        <v>1892</v>
      </c>
    </row>
    <row r="1893" spans="1:2" x14ac:dyDescent="0.2">
      <c r="A1893" s="4" t="str">
        <f>HYPERLINK("http://cdn.wpsstatic.com/images/full/abed-5d02964a2e31b.jpg", "http://cdn.wpsstatic.com/images/full/abed-5d02964a2e31b.jpg")</f>
        <v>http://cdn.wpsstatic.com/images/full/abed-5d02964a2e31b.jpg</v>
      </c>
      <c r="B1893" s="5" t="s">
        <v>1893</v>
      </c>
    </row>
    <row r="1894" spans="1:2" x14ac:dyDescent="0.2">
      <c r="A1894" s="4" t="str">
        <f>HYPERLINK("http://cdn.wpsstatic.com/images/full/abfd-572a553b9a8a3.jpg", "http://cdn.wpsstatic.com/images/full/abfd-572a553b9a8a3.jpg")</f>
        <v>http://cdn.wpsstatic.com/images/full/abfd-572a553b9a8a3.jpg</v>
      </c>
      <c r="B1894" s="5" t="s">
        <v>1894</v>
      </c>
    </row>
    <row r="1895" spans="1:2" x14ac:dyDescent="0.2">
      <c r="A1895" s="4" t="str">
        <f>HYPERLINK("http://cdn.wpsstatic.com/images/full/ac50-572a52ff6ecd6.jpg", "http://cdn.wpsstatic.com/images/full/ac50-572a52ff6ecd6.jpg")</f>
        <v>http://cdn.wpsstatic.com/images/full/ac50-572a52ff6ecd6.jpg</v>
      </c>
      <c r="B1895" s="5" t="s">
        <v>1895</v>
      </c>
    </row>
    <row r="1896" spans="1:2" x14ac:dyDescent="0.2">
      <c r="A1896" s="4" t="str">
        <f>HYPERLINK("http://cdn.wpsstatic.com/images/full/ac5f-5a283a634f9df.jpg", "http://cdn.wpsstatic.com/images/full/ac5f-5a283a634f9df.jpg")</f>
        <v>http://cdn.wpsstatic.com/images/full/ac5f-5a283a634f9df.jpg</v>
      </c>
      <c r="B1896" s="5" t="s">
        <v>1896</v>
      </c>
    </row>
    <row r="1897" spans="1:2" x14ac:dyDescent="0.2">
      <c r="A1897" s="4" t="str">
        <f>HYPERLINK("http://cdn.wpsstatic.com/images/full/ac9a-572a54978b140.jpg", "http://cdn.wpsstatic.com/images/full/ac9a-572a54978b140.jpg")</f>
        <v>http://cdn.wpsstatic.com/images/full/ac9a-572a54978b140.jpg</v>
      </c>
      <c r="B1897" s="5" t="s">
        <v>1897</v>
      </c>
    </row>
    <row r="1898" spans="1:2" x14ac:dyDescent="0.2">
      <c r="A1898" s="4" t="str">
        <f>HYPERLINK("http://cdn.wpsstatic.com/images/full/aca3-572a5530613da.jpg", "http://cdn.wpsstatic.com/images/full/aca3-572a5530613da.jpg")</f>
        <v>http://cdn.wpsstatic.com/images/full/aca3-572a5530613da.jpg</v>
      </c>
      <c r="B1898" s="5" t="s">
        <v>1898</v>
      </c>
    </row>
    <row r="1899" spans="1:2" x14ac:dyDescent="0.2">
      <c r="A1899" s="4" t="str">
        <f>HYPERLINK("http://cdn.wpsstatic.com/images/full/acb2-5885c23bdbc6f.jpg", "http://cdn.wpsstatic.com/images/full/acb2-5885c23bdbc6f.jpg")</f>
        <v>http://cdn.wpsstatic.com/images/full/acb2-5885c23bdbc6f.jpg</v>
      </c>
      <c r="B1899" s="5" t="s">
        <v>1899</v>
      </c>
    </row>
    <row r="1900" spans="1:2" x14ac:dyDescent="0.2">
      <c r="A1900" s="4" t="str">
        <f>HYPERLINK("http://cdn.wpsstatic.com/images/full/accd-572a5511d17c2.jpg", "http://cdn.wpsstatic.com/images/full/accd-572a5511d17c2.jpg")</f>
        <v>http://cdn.wpsstatic.com/images/full/accd-572a5511d17c2.jpg</v>
      </c>
      <c r="B1900" s="5" t="s">
        <v>1900</v>
      </c>
    </row>
    <row r="1901" spans="1:2" x14ac:dyDescent="0.2">
      <c r="A1901" s="4" t="str">
        <f>HYPERLINK("http://cdn.wpsstatic.com/images/full/acf1-5fb44a63b214a.jpg", "http://cdn.wpsstatic.com/images/full/acf1-5fb44a63b214a.jpg")</f>
        <v>http://cdn.wpsstatic.com/images/full/acf1-5fb44a63b214a.jpg</v>
      </c>
      <c r="B1901" s="5" t="s">
        <v>1901</v>
      </c>
    </row>
    <row r="1902" spans="1:2" x14ac:dyDescent="0.2">
      <c r="A1902" s="4" t="str">
        <f>HYPERLINK("http://cdn.wpsstatic.com/images/full/ad39-572a54bf2d767.jpg", "http://cdn.wpsstatic.com/images/full/ad39-572a54bf2d767.jpg")</f>
        <v>http://cdn.wpsstatic.com/images/full/ad39-572a54bf2d767.jpg</v>
      </c>
      <c r="B1902" s="5" t="s">
        <v>1902</v>
      </c>
    </row>
    <row r="1903" spans="1:2" x14ac:dyDescent="0.2">
      <c r="A1903" s="4" t="str">
        <f>HYPERLINK("http://cdn.wpsstatic.com/images/full/ad3d-572a564690b63.jpg", "http://cdn.wpsstatic.com/images/full/ad3d-572a564690b63.jpg")</f>
        <v>http://cdn.wpsstatic.com/images/full/ad3d-572a564690b63.jpg</v>
      </c>
      <c r="B1903" s="5" t="s">
        <v>1903</v>
      </c>
    </row>
    <row r="1904" spans="1:2" x14ac:dyDescent="0.2">
      <c r="A1904" s="4" t="str">
        <f>HYPERLINK("http://cdn.wpsstatic.com/images/full/ad62-572a551160fbd.jpg", "http://cdn.wpsstatic.com/images/full/ad62-572a551160fbd.jpg")</f>
        <v>http://cdn.wpsstatic.com/images/full/ad62-572a551160fbd.jpg</v>
      </c>
      <c r="B1904" s="5" t="s">
        <v>1904</v>
      </c>
    </row>
    <row r="1905" spans="1:2" x14ac:dyDescent="0.2">
      <c r="A1905" s="4" t="str">
        <f>HYPERLINK("http://cdn.wpsstatic.com/images/full/ad66-572a5457c1e11.jpg", "http://cdn.wpsstatic.com/images/full/ad66-572a5457c1e11.jpg")</f>
        <v>http://cdn.wpsstatic.com/images/full/ad66-572a5457c1e11.jpg</v>
      </c>
      <c r="B1905" s="5" t="s">
        <v>1905</v>
      </c>
    </row>
    <row r="1906" spans="1:2" x14ac:dyDescent="0.2">
      <c r="A1906" s="4" t="str">
        <f>HYPERLINK("http://cdn.wpsstatic.com/images/full/ad8f-6064a8fd6cb86.jpg", "http://cdn.wpsstatic.com/images/full/ad8f-6064a8fd6cb86.jpg")</f>
        <v>http://cdn.wpsstatic.com/images/full/ad8f-6064a8fd6cb86.jpg</v>
      </c>
      <c r="B1906" s="5" t="s">
        <v>1906</v>
      </c>
    </row>
    <row r="1907" spans="1:2" x14ac:dyDescent="0.2">
      <c r="A1907" s="4" t="str">
        <f>HYPERLINK("http://cdn.wpsstatic.com/images/full/adae-572a552844064.jpg", "http://cdn.wpsstatic.com/images/full/adae-572a552844064.jpg")</f>
        <v>http://cdn.wpsstatic.com/images/full/adae-572a552844064.jpg</v>
      </c>
      <c r="B1907" s="5" t="s">
        <v>1907</v>
      </c>
    </row>
    <row r="1908" spans="1:2" x14ac:dyDescent="0.2">
      <c r="A1908" s="4" t="str">
        <f>HYPERLINK("http://cdn.wpsstatic.com/images/full/adc0-5d16846b82728.jpg", "http://cdn.wpsstatic.com/images/full/adc0-5d16846b82728.jpg")</f>
        <v>http://cdn.wpsstatic.com/images/full/adc0-5d16846b82728.jpg</v>
      </c>
      <c r="B1908" s="5" t="s">
        <v>1908</v>
      </c>
    </row>
    <row r="1909" spans="1:2" x14ac:dyDescent="0.2">
      <c r="A1909" s="4" t="str">
        <f>HYPERLINK("http://cdn.wpsstatic.com/images/full/adf9-572a53ed94359.jpg", "http://cdn.wpsstatic.com/images/full/adf9-572a53ed94359.jpg")</f>
        <v>http://cdn.wpsstatic.com/images/full/adf9-572a53ed94359.jpg</v>
      </c>
      <c r="B1909" s="5" t="s">
        <v>1909</v>
      </c>
    </row>
    <row r="1910" spans="1:2" x14ac:dyDescent="0.2">
      <c r="A1910" s="4" t="str">
        <f>HYPERLINK("http://cdn.wpsstatic.com/images/full/ae24-572a53993e0c9.jpg", "http://cdn.wpsstatic.com/images/full/ae24-572a53993e0c9.jpg")</f>
        <v>http://cdn.wpsstatic.com/images/full/ae24-572a53993e0c9.jpg</v>
      </c>
      <c r="B1910" s="5" t="s">
        <v>1910</v>
      </c>
    </row>
    <row r="1911" spans="1:2" x14ac:dyDescent="0.2">
      <c r="A1911" s="4" t="str">
        <f>HYPERLINK("http://cdn.wpsstatic.com/images/full/ae46-572a5549e4558.jpg", "http://cdn.wpsstatic.com/images/full/ae46-572a5549e4558.jpg")</f>
        <v>http://cdn.wpsstatic.com/images/full/ae46-572a5549e4558.jpg</v>
      </c>
      <c r="B1911" s="5" t="s">
        <v>1911</v>
      </c>
    </row>
    <row r="1912" spans="1:2" x14ac:dyDescent="0.2">
      <c r="A1912" s="4" t="str">
        <f>HYPERLINK("http://cdn.wpsstatic.com/images/full/aea4-5d1684938c437.jpg", "http://cdn.wpsstatic.com/images/full/aea4-5d1684938c437.jpg")</f>
        <v>http://cdn.wpsstatic.com/images/full/aea4-5d1684938c437.jpg</v>
      </c>
      <c r="B1912" s="5" t="s">
        <v>1912</v>
      </c>
    </row>
    <row r="1913" spans="1:2" x14ac:dyDescent="0.2">
      <c r="A1913" s="4" t="str">
        <f>HYPERLINK("http://cdn.wpsstatic.com/images/full/aeab-572a54faaa0ba.jpg", "http://cdn.wpsstatic.com/images/full/aeab-572a54faaa0ba.jpg")</f>
        <v>http://cdn.wpsstatic.com/images/full/aeab-572a54faaa0ba.jpg</v>
      </c>
      <c r="B1913" s="5" t="s">
        <v>1913</v>
      </c>
    </row>
    <row r="1914" spans="1:2" x14ac:dyDescent="0.2">
      <c r="A1914" s="4" t="str">
        <f>HYPERLINK("http://cdn.wpsstatic.com/images/full/aebb-572a527cdf19b.jpg", "http://cdn.wpsstatic.com/images/full/aebb-572a527cdf19b.jpg")</f>
        <v>http://cdn.wpsstatic.com/images/full/aebb-572a527cdf19b.jpg</v>
      </c>
      <c r="B1914" s="5" t="s">
        <v>1914</v>
      </c>
    </row>
    <row r="1915" spans="1:2" x14ac:dyDescent="0.2">
      <c r="A1915" s="4" t="str">
        <f>HYPERLINK("http://cdn.wpsstatic.com/images/full/af77-604104edf18e6.jpg", "http://cdn.wpsstatic.com/images/full/af77-604104edf18e6.jpg")</f>
        <v>http://cdn.wpsstatic.com/images/full/af77-604104edf18e6.jpg</v>
      </c>
      <c r="B1915" s="5" t="s">
        <v>1915</v>
      </c>
    </row>
    <row r="1916" spans="1:2" x14ac:dyDescent="0.2">
      <c r="A1916" s="4" t="str">
        <f>HYPERLINK("http://cdn.wpsstatic.com/images/full/af7b-572a543325d9e.jpg", "http://cdn.wpsstatic.com/images/full/af7b-572a543325d9e.jpg")</f>
        <v>http://cdn.wpsstatic.com/images/full/af7b-572a543325d9e.jpg</v>
      </c>
      <c r="B1916" s="5" t="s">
        <v>1916</v>
      </c>
    </row>
    <row r="1917" spans="1:2" x14ac:dyDescent="0.2">
      <c r="A1917" s="4" t="str">
        <f>HYPERLINK("http://cdn.wpsstatic.com/images/full/afb0-5d029b20c1cba.jpg", "http://cdn.wpsstatic.com/images/full/afb0-5d029b20c1cba.jpg")</f>
        <v>http://cdn.wpsstatic.com/images/full/afb0-5d029b20c1cba.jpg</v>
      </c>
      <c r="B1917" s="5" t="s">
        <v>1917</v>
      </c>
    </row>
    <row r="1918" spans="1:2" x14ac:dyDescent="0.2">
      <c r="A1918" s="4" t="str">
        <f>HYPERLINK("http://cdn.wpsstatic.com/images/full/afd8-5d1684598da46.jpg", "http://cdn.wpsstatic.com/images/full/afd8-5d1684598da46.jpg")</f>
        <v>http://cdn.wpsstatic.com/images/full/afd8-5d1684598da46.jpg</v>
      </c>
      <c r="B1918" s="5" t="s">
        <v>1918</v>
      </c>
    </row>
    <row r="1919" spans="1:2" x14ac:dyDescent="0.2">
      <c r="A1919" s="4" t="str">
        <f>HYPERLINK("http://cdn.wpsstatic.com/images/full/affd-5a283a5462a23.jpg", "http://cdn.wpsstatic.com/images/full/affd-5a283a5462a23.jpg")</f>
        <v>http://cdn.wpsstatic.com/images/full/affd-5a283a5462a23.jpg</v>
      </c>
      <c r="B1919" s="5" t="s">
        <v>1919</v>
      </c>
    </row>
    <row r="1920" spans="1:2" x14ac:dyDescent="0.2">
      <c r="A1920" s="4" t="str">
        <f>HYPERLINK("http://cdn.wpsstatic.com/images/full/b031-572a552c6e561.jpg", "http://cdn.wpsstatic.com/images/full/b031-572a552c6e561.jpg")</f>
        <v>http://cdn.wpsstatic.com/images/full/b031-572a552c6e561.jpg</v>
      </c>
      <c r="B1920" s="5" t="s">
        <v>1920</v>
      </c>
    </row>
    <row r="1921" spans="1:2" x14ac:dyDescent="0.2">
      <c r="A1921" s="4" t="str">
        <f>HYPERLINK("http://cdn.wpsstatic.com/images/full/b08c-572a537e36d03.jpg", "http://cdn.wpsstatic.com/images/full/b08c-572a537e36d03.jpg")</f>
        <v>http://cdn.wpsstatic.com/images/full/b08c-572a537e36d03.jpg</v>
      </c>
      <c r="B1921" s="5" t="s">
        <v>1921</v>
      </c>
    </row>
    <row r="1922" spans="1:2" x14ac:dyDescent="0.2">
      <c r="A1922" s="4" t="str">
        <f>HYPERLINK("http://cdn.wpsstatic.com/images/full/b08d-572a537bc08fc.jpg", "http://cdn.wpsstatic.com/images/full/b08d-572a537bc08fc.jpg")</f>
        <v>http://cdn.wpsstatic.com/images/full/b08d-572a537bc08fc.jpg</v>
      </c>
      <c r="B1922" s="5" t="s">
        <v>1922</v>
      </c>
    </row>
    <row r="1923" spans="1:2" x14ac:dyDescent="0.2">
      <c r="A1923" s="4" t="str">
        <f>HYPERLINK("http://cdn.wpsstatic.com/images/full/b0c8-572a557f29661.jpg", "http://cdn.wpsstatic.com/images/full/b0c8-572a557f29661.jpg")</f>
        <v>http://cdn.wpsstatic.com/images/full/b0c8-572a557f29661.jpg</v>
      </c>
      <c r="B1923" s="5" t="s">
        <v>1923</v>
      </c>
    </row>
    <row r="1924" spans="1:2" x14ac:dyDescent="0.2">
      <c r="A1924" s="4" t="str">
        <f>HYPERLINK("http://cdn.wpsstatic.com/images/full/b0e6-572a54aba4bad.jpg", "http://cdn.wpsstatic.com/images/full/b0e6-572a54aba4bad.jpg")</f>
        <v>http://cdn.wpsstatic.com/images/full/b0e6-572a54aba4bad.jpg</v>
      </c>
      <c r="B1924" s="5" t="s">
        <v>1924</v>
      </c>
    </row>
    <row r="1925" spans="1:2" x14ac:dyDescent="0.2">
      <c r="A1925" s="4" t="str">
        <f>HYPERLINK("http://cdn.wpsstatic.com/images/full/b11e-572a543b8a5c5.jpg", "http://cdn.wpsstatic.com/images/full/b11e-572a543b8a5c5.jpg")</f>
        <v>http://cdn.wpsstatic.com/images/full/b11e-572a543b8a5c5.jpg</v>
      </c>
      <c r="B1925" s="5" t="s">
        <v>1925</v>
      </c>
    </row>
    <row r="1926" spans="1:2" x14ac:dyDescent="0.2">
      <c r="A1926" s="4" t="str">
        <f>HYPERLINK("http://cdn.wpsstatic.com/images/full/b159-572a53bdd20f7.jpg", "http://cdn.wpsstatic.com/images/full/b159-572a53bdd20f7.jpg")</f>
        <v>http://cdn.wpsstatic.com/images/full/b159-572a53bdd20f7.jpg</v>
      </c>
      <c r="B1926" s="5" t="s">
        <v>1926</v>
      </c>
    </row>
    <row r="1927" spans="1:2" x14ac:dyDescent="0.2">
      <c r="A1927" s="4" t="str">
        <f>HYPERLINK("http://cdn.wpsstatic.com/images/full/b15b-5f57a97e608eb.jpg", "http://cdn.wpsstatic.com/images/full/b15b-5f57a97e608eb.jpg")</f>
        <v>http://cdn.wpsstatic.com/images/full/b15b-5f57a97e608eb.jpg</v>
      </c>
      <c r="B1927" s="5" t="s">
        <v>1927</v>
      </c>
    </row>
    <row r="1928" spans="1:2" x14ac:dyDescent="0.2">
      <c r="A1928" s="4" t="str">
        <f>HYPERLINK("http://cdn.wpsstatic.com/images/full/b1be-572a552067abe.jpg", "http://cdn.wpsstatic.com/images/full/b1be-572a552067abe.jpg")</f>
        <v>http://cdn.wpsstatic.com/images/full/b1be-572a552067abe.jpg</v>
      </c>
      <c r="B1928" s="5" t="s">
        <v>1928</v>
      </c>
    </row>
    <row r="1929" spans="1:2" x14ac:dyDescent="0.2">
      <c r="A1929" s="4" t="str">
        <f>HYPERLINK("http://cdn.wpsstatic.com/images/full/b1cd-5f57b99d43142.jpg", "http://cdn.wpsstatic.com/images/full/b1cd-5f57b99d43142.jpg")</f>
        <v>http://cdn.wpsstatic.com/images/full/b1cd-5f57b99d43142.jpg</v>
      </c>
      <c r="B1929" s="5" t="s">
        <v>1929</v>
      </c>
    </row>
    <row r="1930" spans="1:2" x14ac:dyDescent="0.2">
      <c r="A1930" s="4" t="str">
        <f>HYPERLINK("http://cdn.wpsstatic.com/images/full/b1e3-5885c2f3b8b47.jpg", "http://cdn.wpsstatic.com/images/full/b1e3-5885c2f3b8b47.jpg")</f>
        <v>http://cdn.wpsstatic.com/images/full/b1e3-5885c2f3b8b47.jpg</v>
      </c>
      <c r="B1930" s="5" t="s">
        <v>1930</v>
      </c>
    </row>
    <row r="1931" spans="1:2" x14ac:dyDescent="0.2">
      <c r="A1931" s="4" t="str">
        <f>HYPERLINK("http://cdn.wpsstatic.com/images/full/b21c-5d7900da872b2.jpg", "http://cdn.wpsstatic.com/images/full/b21c-5d7900da872b2.jpg")</f>
        <v>http://cdn.wpsstatic.com/images/full/b21c-5d7900da872b2.jpg</v>
      </c>
      <c r="B1931" s="5" t="s">
        <v>1931</v>
      </c>
    </row>
    <row r="1932" spans="1:2" x14ac:dyDescent="0.2">
      <c r="A1932" s="4" t="str">
        <f>HYPERLINK("http://cdn.wpsstatic.com/images/full/b236-572a5462ab67b.jpg", "http://cdn.wpsstatic.com/images/full/b236-572a5462ab67b.jpg")</f>
        <v>http://cdn.wpsstatic.com/images/full/b236-572a5462ab67b.jpg</v>
      </c>
      <c r="B1932" s="5" t="s">
        <v>1932</v>
      </c>
    </row>
    <row r="1933" spans="1:2" x14ac:dyDescent="0.2">
      <c r="A1933" s="4" t="str">
        <f>HYPERLINK("http://cdn.wpsstatic.com/images/full/b27c-572a53bba9f8c.jpg", "http://cdn.wpsstatic.com/images/full/b27c-572a53bba9f8c.jpg")</f>
        <v>http://cdn.wpsstatic.com/images/full/b27c-572a53bba9f8c.jpg</v>
      </c>
      <c r="B1933" s="5" t="s">
        <v>1933</v>
      </c>
    </row>
    <row r="1934" spans="1:2" x14ac:dyDescent="0.2">
      <c r="A1934" s="4" t="str">
        <f>HYPERLINK("http://cdn.wpsstatic.com/images/full/b27c-5f5797fa373a7.jpg", "http://cdn.wpsstatic.com/images/full/b27c-5f5797fa373a7.jpg")</f>
        <v>http://cdn.wpsstatic.com/images/full/b27c-5f5797fa373a7.jpg</v>
      </c>
      <c r="B1934" s="5" t="s">
        <v>1934</v>
      </c>
    </row>
    <row r="1935" spans="1:2" x14ac:dyDescent="0.2">
      <c r="A1935" s="4" t="str">
        <f>HYPERLINK("http://cdn.wpsstatic.com/images/full/b2a0-572a54173ee08.jpg", "http://cdn.wpsstatic.com/images/full/b2a0-572a54173ee08.jpg")</f>
        <v>http://cdn.wpsstatic.com/images/full/b2a0-572a54173ee08.jpg</v>
      </c>
      <c r="B1935" s="5" t="s">
        <v>1935</v>
      </c>
    </row>
    <row r="1936" spans="1:2" x14ac:dyDescent="0.2">
      <c r="A1936" s="4" t="str">
        <f>HYPERLINK("http://cdn.wpsstatic.com/images/full/b301-572a525dd3a9d.jpg", "http://cdn.wpsstatic.com/images/full/b301-572a525dd3a9d.jpg")</f>
        <v>http://cdn.wpsstatic.com/images/full/b301-572a525dd3a9d.jpg</v>
      </c>
      <c r="B1936" s="5" t="s">
        <v>1936</v>
      </c>
    </row>
    <row r="1937" spans="1:2" x14ac:dyDescent="0.2">
      <c r="A1937" s="4" t="str">
        <f>HYPERLINK("http://cdn.wpsstatic.com/images/full/b311-572a5405e1ea3.jpg", "http://cdn.wpsstatic.com/images/full/b311-572a5405e1ea3.jpg")</f>
        <v>http://cdn.wpsstatic.com/images/full/b311-572a5405e1ea3.jpg</v>
      </c>
      <c r="B1937" s="5" t="s">
        <v>1937</v>
      </c>
    </row>
    <row r="1938" spans="1:2" x14ac:dyDescent="0.2">
      <c r="A1938" s="4" t="str">
        <f>HYPERLINK("http://cdn.wpsstatic.com/images/full/b31f-5885c1df5976e.jpg", "http://cdn.wpsstatic.com/images/full/b31f-5885c1df5976e.jpg")</f>
        <v>http://cdn.wpsstatic.com/images/full/b31f-5885c1df5976e.jpg</v>
      </c>
      <c r="B1938" s="5" t="s">
        <v>1938</v>
      </c>
    </row>
    <row r="1939" spans="1:2" x14ac:dyDescent="0.2">
      <c r="A1939" s="4" t="str">
        <f>HYPERLINK("http://cdn.wpsstatic.com/images/full/b370-572a5621f2617.jpg", "http://cdn.wpsstatic.com/images/full/b370-572a5621f2617.jpg")</f>
        <v>http://cdn.wpsstatic.com/images/full/b370-572a5621f2617.jpg</v>
      </c>
      <c r="B1939" s="5" t="s">
        <v>1939</v>
      </c>
    </row>
    <row r="1940" spans="1:2" x14ac:dyDescent="0.2">
      <c r="A1940" s="4" t="str">
        <f>HYPERLINK("http://cdn.wpsstatic.com/images/full/b37b-5f57894e6a792.jpg", "http://cdn.wpsstatic.com/images/full/b37b-5f57894e6a792.jpg")</f>
        <v>http://cdn.wpsstatic.com/images/full/b37b-5f57894e6a792.jpg</v>
      </c>
      <c r="B1940" s="5" t="s">
        <v>1940</v>
      </c>
    </row>
    <row r="1941" spans="1:2" x14ac:dyDescent="0.2">
      <c r="A1941" s="4" t="str">
        <f>HYPERLINK("http://cdn.wpsstatic.com/images/full/b39c-572a541961885.jpg", "http://cdn.wpsstatic.com/images/full/b39c-572a541961885.jpg")</f>
        <v>http://cdn.wpsstatic.com/images/full/b39c-572a541961885.jpg</v>
      </c>
      <c r="B1941" s="5" t="s">
        <v>1941</v>
      </c>
    </row>
    <row r="1942" spans="1:2" x14ac:dyDescent="0.2">
      <c r="A1942" s="4" t="str">
        <f>HYPERLINK("http://cdn.wpsstatic.com/images/full/b3ec-572a54e17b50c.jpg", "http://cdn.wpsstatic.com/images/full/b3ec-572a54e17b50c.jpg")</f>
        <v>http://cdn.wpsstatic.com/images/full/b3ec-572a54e17b50c.jpg</v>
      </c>
      <c r="B1942" s="5" t="s">
        <v>1942</v>
      </c>
    </row>
    <row r="1943" spans="1:2" x14ac:dyDescent="0.2">
      <c r="A1943" s="4" t="str">
        <f>HYPERLINK("http://cdn.wpsstatic.com/images/full/b3fe-5d0294d2d1b26.jpg", "http://cdn.wpsstatic.com/images/full/b3fe-5d0294d2d1b26.jpg")</f>
        <v>http://cdn.wpsstatic.com/images/full/b3fe-5d0294d2d1b26.jpg</v>
      </c>
      <c r="B1943" s="5" t="s">
        <v>1943</v>
      </c>
    </row>
    <row r="1944" spans="1:2" x14ac:dyDescent="0.2">
      <c r="A1944" s="4" t="str">
        <f>HYPERLINK("http://cdn.wpsstatic.com/images/full/b437-572a545e0af05.jpg", "http://cdn.wpsstatic.com/images/full/b437-572a545e0af05.jpg")</f>
        <v>http://cdn.wpsstatic.com/images/full/b437-572a545e0af05.jpg</v>
      </c>
      <c r="B1944" s="5" t="s">
        <v>1944</v>
      </c>
    </row>
    <row r="1945" spans="1:2" x14ac:dyDescent="0.2">
      <c r="A1945" s="4" t="str">
        <f>HYPERLINK("http://cdn.wpsstatic.com/images/full/b45b-572a53b722800.jpg", "http://cdn.wpsstatic.com/images/full/b45b-572a53b722800.jpg")</f>
        <v>http://cdn.wpsstatic.com/images/full/b45b-572a53b722800.jpg</v>
      </c>
      <c r="B1945" s="5" t="s">
        <v>1945</v>
      </c>
    </row>
    <row r="1946" spans="1:2" x14ac:dyDescent="0.2">
      <c r="A1946" s="4" t="str">
        <f>HYPERLINK("http://cdn.wpsstatic.com/images/full/b488-572a546657dde.jpg", "http://cdn.wpsstatic.com/images/full/b488-572a546657dde.jpg")</f>
        <v>http://cdn.wpsstatic.com/images/full/b488-572a546657dde.jpg</v>
      </c>
      <c r="B1946" s="5" t="s">
        <v>1946</v>
      </c>
    </row>
    <row r="1947" spans="1:2" x14ac:dyDescent="0.2">
      <c r="A1947" s="4" t="str">
        <f>HYPERLINK("http://cdn.wpsstatic.com/images/full/b4a3-572a55053a807.jpg", "http://cdn.wpsstatic.com/images/full/b4a3-572a55053a807.jpg")</f>
        <v>http://cdn.wpsstatic.com/images/full/b4a3-572a55053a807.jpg</v>
      </c>
      <c r="B1947" s="5" t="s">
        <v>1947</v>
      </c>
    </row>
    <row r="1948" spans="1:2" x14ac:dyDescent="0.2">
      <c r="A1948" s="4" t="str">
        <f>HYPERLINK("http://cdn.wpsstatic.com/images/full/b4b4-60abb5333d696.png", "http://cdn.wpsstatic.com/images/full/b4b4-60abb5333d696.png")</f>
        <v>http://cdn.wpsstatic.com/images/full/b4b4-60abb5333d696.png</v>
      </c>
      <c r="B1948" s="5" t="s">
        <v>1948</v>
      </c>
    </row>
    <row r="1949" spans="1:2" x14ac:dyDescent="0.2">
      <c r="A1949" s="4" t="str">
        <f>HYPERLINK("http://cdn.wpsstatic.com/images/full/b4c9-5cca0a1101679.jpg", "http://cdn.wpsstatic.com/images/full/b4c9-5cca0a1101679.jpg")</f>
        <v>http://cdn.wpsstatic.com/images/full/b4c9-5cca0a1101679.jpg</v>
      </c>
      <c r="B1949" s="5" t="s">
        <v>1949</v>
      </c>
    </row>
    <row r="1950" spans="1:2" x14ac:dyDescent="0.2">
      <c r="A1950" s="4" t="str">
        <f>HYPERLINK("http://cdn.wpsstatic.com/images/full/b4d4-572a53e83c255.jpg", "http://cdn.wpsstatic.com/images/full/b4d4-572a53e83c255.jpg")</f>
        <v>http://cdn.wpsstatic.com/images/full/b4d4-572a53e83c255.jpg</v>
      </c>
      <c r="B1950" s="5" t="s">
        <v>1950</v>
      </c>
    </row>
    <row r="1951" spans="1:2" x14ac:dyDescent="0.2">
      <c r="A1951" s="4" t="str">
        <f>HYPERLINK("http://cdn.wpsstatic.com/images/full/b4ec-572a551047a84.jpg", "http://cdn.wpsstatic.com/images/full/b4ec-572a551047a84.jpg")</f>
        <v>http://cdn.wpsstatic.com/images/full/b4ec-572a551047a84.jpg</v>
      </c>
      <c r="B1951" s="5" t="s">
        <v>1951</v>
      </c>
    </row>
    <row r="1952" spans="1:2" x14ac:dyDescent="0.2">
      <c r="A1952" s="4" t="str">
        <f>HYPERLINK("http://cdn.wpsstatic.com/images/full/b4f8-572a52b00d60f.jpg", "http://cdn.wpsstatic.com/images/full/b4f8-572a52b00d60f.jpg")</f>
        <v>http://cdn.wpsstatic.com/images/full/b4f8-572a52b00d60f.jpg</v>
      </c>
      <c r="B1952" s="5" t="s">
        <v>1952</v>
      </c>
    </row>
    <row r="1953" spans="1:2" x14ac:dyDescent="0.2">
      <c r="A1953" s="4" t="str">
        <f>HYPERLINK("http://cdn.wpsstatic.com/images/full/b505-5d7905da5ceef.jpg", "http://cdn.wpsstatic.com/images/full/b505-5d7905da5ceef.jpg")</f>
        <v>http://cdn.wpsstatic.com/images/full/b505-5d7905da5ceef.jpg</v>
      </c>
      <c r="B1953" s="5" t="s">
        <v>1953</v>
      </c>
    </row>
    <row r="1954" spans="1:2" x14ac:dyDescent="0.2">
      <c r="A1954" s="4" t="str">
        <f>HYPERLINK("http://cdn.wpsstatic.com/images/full/b523-572a5488609a5.jpg", "http://cdn.wpsstatic.com/images/full/b523-572a5488609a5.jpg")</f>
        <v>http://cdn.wpsstatic.com/images/full/b523-572a5488609a5.jpg</v>
      </c>
      <c r="B1954" s="5" t="s">
        <v>1954</v>
      </c>
    </row>
    <row r="1955" spans="1:2" x14ac:dyDescent="0.2">
      <c r="A1955" s="4" t="str">
        <f>HYPERLINK("http://cdn.wpsstatic.com/images/full/b528-572a532622b03.jpg", "http://cdn.wpsstatic.com/images/full/b528-572a532622b03.jpg")</f>
        <v>http://cdn.wpsstatic.com/images/full/b528-572a532622b03.jpg</v>
      </c>
      <c r="B1955" s="5" t="s">
        <v>1955</v>
      </c>
    </row>
    <row r="1956" spans="1:2" x14ac:dyDescent="0.2">
      <c r="A1956" s="4" t="str">
        <f>HYPERLINK("http://cdn.wpsstatic.com/images/full/b542-572a53b39ad51.jpg", "http://cdn.wpsstatic.com/images/full/b542-572a53b39ad51.jpg")</f>
        <v>http://cdn.wpsstatic.com/images/full/b542-572a53b39ad51.jpg</v>
      </c>
      <c r="B1956" s="5" t="s">
        <v>1956</v>
      </c>
    </row>
    <row r="1957" spans="1:2" x14ac:dyDescent="0.2">
      <c r="A1957" s="4" t="str">
        <f>HYPERLINK("http://cdn.wpsstatic.com/images/full/b54b-5d0298ca8161c.jpg", "http://cdn.wpsstatic.com/images/full/b54b-5d0298ca8161c.jpg")</f>
        <v>http://cdn.wpsstatic.com/images/full/b54b-5d0298ca8161c.jpg</v>
      </c>
      <c r="B1957" s="5" t="s">
        <v>1957</v>
      </c>
    </row>
    <row r="1958" spans="1:2" x14ac:dyDescent="0.2">
      <c r="A1958" s="4" t="str">
        <f>HYPERLINK("http://cdn.wpsstatic.com/images/full/b573-5a283a3ecbe59.jpg", "http://cdn.wpsstatic.com/images/full/b573-5a283a3ecbe59.jpg")</f>
        <v>http://cdn.wpsstatic.com/images/full/b573-5a283a3ecbe59.jpg</v>
      </c>
      <c r="B1958" s="5" t="s">
        <v>1958</v>
      </c>
    </row>
    <row r="1959" spans="1:2" x14ac:dyDescent="0.2">
      <c r="A1959" s="4" t="str">
        <f>HYPERLINK("http://cdn.wpsstatic.com/images/full/b58c-60abb4af05f56.png", "http://cdn.wpsstatic.com/images/full/b58c-60abb4af05f56.png")</f>
        <v>http://cdn.wpsstatic.com/images/full/b58c-60abb4af05f56.png</v>
      </c>
      <c r="B1959" s="5" t="s">
        <v>1959</v>
      </c>
    </row>
    <row r="1960" spans="1:2" x14ac:dyDescent="0.2">
      <c r="A1960" s="4" t="str">
        <f>HYPERLINK("http://cdn.wpsstatic.com/images/full/b58f-5f52aa6146de0.jpg", "http://cdn.wpsstatic.com/images/full/b58f-5f52aa6146de0.jpg")</f>
        <v>http://cdn.wpsstatic.com/images/full/b58f-5f52aa6146de0.jpg</v>
      </c>
      <c r="B1960" s="5" t="s">
        <v>1960</v>
      </c>
    </row>
    <row r="1961" spans="1:2" x14ac:dyDescent="0.2">
      <c r="A1961" s="4" t="str">
        <f>HYPERLINK("http://cdn.wpsstatic.com/images/full/b5a0-5d0296d1025a7.jpg", "http://cdn.wpsstatic.com/images/full/b5a0-5d0296d1025a7.jpg")</f>
        <v>http://cdn.wpsstatic.com/images/full/b5a0-5d0296d1025a7.jpg</v>
      </c>
      <c r="B1961" s="5" t="s">
        <v>1961</v>
      </c>
    </row>
    <row r="1962" spans="1:2" x14ac:dyDescent="0.2">
      <c r="A1962" s="4" t="str">
        <f>HYPERLINK("http://cdn.wpsstatic.com/images/full/b5a7-5d02945da11c8.jpg", "http://cdn.wpsstatic.com/images/full/b5a7-5d02945da11c8.jpg")</f>
        <v>http://cdn.wpsstatic.com/images/full/b5a7-5d02945da11c8.jpg</v>
      </c>
      <c r="B1962" s="5" t="s">
        <v>1962</v>
      </c>
    </row>
    <row r="1963" spans="1:2" x14ac:dyDescent="0.2">
      <c r="A1963" s="4" t="str">
        <f>HYPERLINK("http://cdn.wpsstatic.com/images/full/b5bf-572a54eaa6090.jpg", "http://cdn.wpsstatic.com/images/full/b5bf-572a54eaa6090.jpg")</f>
        <v>http://cdn.wpsstatic.com/images/full/b5bf-572a54eaa6090.jpg</v>
      </c>
      <c r="B1963" s="5" t="s">
        <v>1963</v>
      </c>
    </row>
    <row r="1964" spans="1:2" x14ac:dyDescent="0.2">
      <c r="A1964" s="4" t="str">
        <f>HYPERLINK("http://cdn.wpsstatic.com/images/full/b5c0-572a52aa45d78.jpg", "http://cdn.wpsstatic.com/images/full/b5c0-572a52aa45d78.jpg")</f>
        <v>http://cdn.wpsstatic.com/images/full/b5c0-572a52aa45d78.jpg</v>
      </c>
      <c r="B1964" s="5" t="s">
        <v>1964</v>
      </c>
    </row>
    <row r="1965" spans="1:2" x14ac:dyDescent="0.2">
      <c r="A1965" s="4" t="str">
        <f>HYPERLINK("http://cdn.wpsstatic.com/images/full/b5c1-572a5302eba22.jpg", "http://cdn.wpsstatic.com/images/full/b5c1-572a5302eba22.jpg")</f>
        <v>http://cdn.wpsstatic.com/images/full/b5c1-572a5302eba22.jpg</v>
      </c>
      <c r="B1965" s="5" t="s">
        <v>1965</v>
      </c>
    </row>
    <row r="1966" spans="1:2" x14ac:dyDescent="0.2">
      <c r="A1966" s="4" t="str">
        <f>HYPERLINK("http://cdn.wpsstatic.com/images/full/b5c6-572a558d52dea.jpg", "http://cdn.wpsstatic.com/images/full/b5c6-572a558d52dea.jpg")</f>
        <v>http://cdn.wpsstatic.com/images/full/b5c6-572a558d52dea.jpg</v>
      </c>
      <c r="B1966" s="5" t="s">
        <v>1966</v>
      </c>
    </row>
    <row r="1967" spans="1:2" x14ac:dyDescent="0.2">
      <c r="A1967" s="4" t="str">
        <f>HYPERLINK("http://cdn.wpsstatic.com/images/full/b661-572a54be6ee5b.jpg", "http://cdn.wpsstatic.com/images/full/b661-572a54be6ee5b.jpg")</f>
        <v>http://cdn.wpsstatic.com/images/full/b661-572a54be6ee5b.jpg</v>
      </c>
      <c r="B1967" s="5" t="s">
        <v>1967</v>
      </c>
    </row>
    <row r="1968" spans="1:2" x14ac:dyDescent="0.2">
      <c r="A1968" s="4" t="str">
        <f>HYPERLINK("http://cdn.wpsstatic.com/images/full/b678-572a540557a74.jpg", "http://cdn.wpsstatic.com/images/full/b678-572a540557a74.jpg")</f>
        <v>http://cdn.wpsstatic.com/images/full/b678-572a540557a74.jpg</v>
      </c>
      <c r="B1968" s="5" t="s">
        <v>1968</v>
      </c>
    </row>
    <row r="1969" spans="1:2" x14ac:dyDescent="0.2">
      <c r="A1969" s="4" t="str">
        <f>HYPERLINK("http://cdn.wpsstatic.com/images/full/b6ae-6171d82bba378.png", "http://cdn.wpsstatic.com/images/full/b6ae-6171d82bba378.png")</f>
        <v>http://cdn.wpsstatic.com/images/full/b6ae-6171d82bba378.png</v>
      </c>
      <c r="B1969" s="5" t="s">
        <v>1969</v>
      </c>
    </row>
    <row r="1970" spans="1:2" x14ac:dyDescent="0.2">
      <c r="A1970" s="4" t="str">
        <f>HYPERLINK("http://cdn.wpsstatic.com/images/full/b6cb-572a53ca9e82b.jpg", "http://cdn.wpsstatic.com/images/full/b6cb-572a53ca9e82b.jpg")</f>
        <v>http://cdn.wpsstatic.com/images/full/b6cb-572a53ca9e82b.jpg</v>
      </c>
      <c r="B1970" s="5" t="s">
        <v>1970</v>
      </c>
    </row>
    <row r="1971" spans="1:2" x14ac:dyDescent="0.2">
      <c r="A1971" s="4" t="str">
        <f>HYPERLINK("http://cdn.wpsstatic.com/images/full/b6fa-572a5426a8f67.jpg", "http://cdn.wpsstatic.com/images/full/b6fa-572a5426a8f67.jpg")</f>
        <v>http://cdn.wpsstatic.com/images/full/b6fa-572a5426a8f67.jpg</v>
      </c>
      <c r="B1971" s="5" t="s">
        <v>1971</v>
      </c>
    </row>
    <row r="1972" spans="1:2" x14ac:dyDescent="0.2">
      <c r="A1972" s="4" t="str">
        <f>HYPERLINK("http://cdn.wpsstatic.com/images/full/b750-572a53cd077a9.jpg", "http://cdn.wpsstatic.com/images/full/b750-572a53cd077a9.jpg")</f>
        <v>http://cdn.wpsstatic.com/images/full/b750-572a53cd077a9.jpg</v>
      </c>
      <c r="B1972" s="5" t="s">
        <v>1972</v>
      </c>
    </row>
    <row r="1973" spans="1:2" x14ac:dyDescent="0.2">
      <c r="A1973" s="4" t="str">
        <f>HYPERLINK("http://cdn.wpsstatic.com/images/full/b775-572a54bfd5441.jpg", "http://cdn.wpsstatic.com/images/full/b775-572a54bfd5441.jpg")</f>
        <v>http://cdn.wpsstatic.com/images/full/b775-572a54bfd5441.jpg</v>
      </c>
      <c r="B1973" s="5" t="s">
        <v>1973</v>
      </c>
    </row>
    <row r="1974" spans="1:2" x14ac:dyDescent="0.2">
      <c r="A1974" s="4" t="str">
        <f>HYPERLINK("http://cdn.wpsstatic.com/images/full/b788-572a5642bb382.jpg", "http://cdn.wpsstatic.com/images/full/b788-572a5642bb382.jpg")</f>
        <v>http://cdn.wpsstatic.com/images/full/b788-572a5642bb382.jpg</v>
      </c>
      <c r="B1974" s="5" t="s">
        <v>1974</v>
      </c>
    </row>
    <row r="1975" spans="1:2" x14ac:dyDescent="0.2">
      <c r="A1975" s="4" t="str">
        <f>HYPERLINK("http://cdn.wpsstatic.com/images/full/b7ed-5d028c0b928e4.jpg", "http://cdn.wpsstatic.com/images/full/b7ed-5d028c0b928e4.jpg")</f>
        <v>http://cdn.wpsstatic.com/images/full/b7ed-5d028c0b928e4.jpg</v>
      </c>
      <c r="B1975" s="5" t="s">
        <v>1975</v>
      </c>
    </row>
    <row r="1976" spans="1:2" x14ac:dyDescent="0.2">
      <c r="A1976" s="4" t="str">
        <f>HYPERLINK("http://cdn.wpsstatic.com/images/full/b81a-572a531d676f2.jpg", "http://cdn.wpsstatic.com/images/full/b81a-572a531d676f2.jpg")</f>
        <v>http://cdn.wpsstatic.com/images/full/b81a-572a531d676f2.jpg</v>
      </c>
      <c r="B1976" s="5" t="s">
        <v>1976</v>
      </c>
    </row>
    <row r="1977" spans="1:2" x14ac:dyDescent="0.2">
      <c r="A1977" s="4" t="str">
        <f>HYPERLINK("http://cdn.wpsstatic.com/images/full/b83d-572a53287f5c5.jpg", "http://cdn.wpsstatic.com/images/full/b83d-572a53287f5c5.jpg")</f>
        <v>http://cdn.wpsstatic.com/images/full/b83d-572a53287f5c5.jpg</v>
      </c>
      <c r="B1977" s="5" t="s">
        <v>1977</v>
      </c>
    </row>
    <row r="1978" spans="1:2" x14ac:dyDescent="0.2">
      <c r="A1978" s="4" t="str">
        <f>HYPERLINK("http://cdn.wpsstatic.com/images/full/b85a-5ecd3c391f97a.jpg", "http://cdn.wpsstatic.com/images/full/b85a-5ecd3c391f97a.jpg")</f>
        <v>http://cdn.wpsstatic.com/images/full/b85a-5ecd3c391f97a.jpg</v>
      </c>
      <c r="B1978" s="5" t="s">
        <v>1978</v>
      </c>
    </row>
    <row r="1979" spans="1:2" x14ac:dyDescent="0.2">
      <c r="A1979" s="4" t="str">
        <f>HYPERLINK("http://cdn.wpsstatic.com/images/full/b860-572a55294a57b.jpg", "http://cdn.wpsstatic.com/images/full/b860-572a55294a57b.jpg")</f>
        <v>http://cdn.wpsstatic.com/images/full/b860-572a55294a57b.jpg</v>
      </c>
      <c r="B1979" s="5" t="s">
        <v>1979</v>
      </c>
    </row>
    <row r="1980" spans="1:2" x14ac:dyDescent="0.2">
      <c r="A1980" s="4" t="str">
        <f>HYPERLINK("http://cdn.wpsstatic.com/images/full/b872-572a556d8dcf5.jpg", "http://cdn.wpsstatic.com/images/full/b872-572a556d8dcf5.jpg")</f>
        <v>http://cdn.wpsstatic.com/images/full/b872-572a556d8dcf5.jpg</v>
      </c>
      <c r="B1980" s="5" t="s">
        <v>1980</v>
      </c>
    </row>
    <row r="1981" spans="1:2" x14ac:dyDescent="0.2">
      <c r="A1981" s="4" t="str">
        <f>HYPERLINK("http://cdn.wpsstatic.com/images/full/b895-572a549814393.jpg", "http://cdn.wpsstatic.com/images/full/b895-572a549814393.jpg")</f>
        <v>http://cdn.wpsstatic.com/images/full/b895-572a549814393.jpg</v>
      </c>
      <c r="B1981" s="5" t="s">
        <v>1981</v>
      </c>
    </row>
    <row r="1982" spans="1:2" x14ac:dyDescent="0.2">
      <c r="A1982" s="4" t="str">
        <f>HYPERLINK("http://cdn.wpsstatic.com/images/full/b8af-5885c205d4ed0.jpg", "http://cdn.wpsstatic.com/images/full/b8af-5885c205d4ed0.jpg")</f>
        <v>http://cdn.wpsstatic.com/images/full/b8af-5885c205d4ed0.jpg</v>
      </c>
      <c r="B1982" s="5" t="s">
        <v>1982</v>
      </c>
    </row>
    <row r="1983" spans="1:2" x14ac:dyDescent="0.2">
      <c r="A1983" s="4" t="str">
        <f>HYPERLINK("http://cdn.wpsstatic.com/images/full/b8bc-572a5534ac359.jpg", "http://cdn.wpsstatic.com/images/full/b8bc-572a5534ac359.jpg")</f>
        <v>http://cdn.wpsstatic.com/images/full/b8bc-572a5534ac359.jpg</v>
      </c>
      <c r="B1983" s="5" t="s">
        <v>1983</v>
      </c>
    </row>
    <row r="1984" spans="1:2" x14ac:dyDescent="0.2">
      <c r="A1984" s="4" t="str">
        <f>HYPERLINK("http://cdn.wpsstatic.com/images/full/b8dd-572a5301eab88.jpg", "http://cdn.wpsstatic.com/images/full/b8dd-572a5301eab88.jpg")</f>
        <v>http://cdn.wpsstatic.com/images/full/b8dd-572a5301eab88.jpg</v>
      </c>
      <c r="B1984" s="5" t="s">
        <v>1984</v>
      </c>
    </row>
    <row r="1985" spans="1:2" x14ac:dyDescent="0.2">
      <c r="A1985" s="4" t="str">
        <f>HYPERLINK("http://cdn.wpsstatic.com/images/full/b8e0-572a56350240f.jpg", "http://cdn.wpsstatic.com/images/full/b8e0-572a56350240f.jpg")</f>
        <v>http://cdn.wpsstatic.com/images/full/b8e0-572a56350240f.jpg</v>
      </c>
      <c r="B1985" s="5" t="s">
        <v>1985</v>
      </c>
    </row>
    <row r="1986" spans="1:2" x14ac:dyDescent="0.2">
      <c r="A1986" s="4" t="str">
        <f>HYPERLINK("http://cdn.wpsstatic.com/images/full/b904-572a53a8b3191.jpg", "http://cdn.wpsstatic.com/images/full/b904-572a53a8b3191.jpg")</f>
        <v>http://cdn.wpsstatic.com/images/full/b904-572a53a8b3191.jpg</v>
      </c>
      <c r="B1986" s="5" t="s">
        <v>1986</v>
      </c>
    </row>
    <row r="1987" spans="1:2" x14ac:dyDescent="0.2">
      <c r="A1987" s="4" t="str">
        <f>HYPERLINK("http://cdn.wpsstatic.com/images/full/b904-572a53a8b3191.jpg", "http://cdn.wpsstatic.com/images/full/b904-572a53a8b3191.jpg")</f>
        <v>http://cdn.wpsstatic.com/images/full/b904-572a53a8b3191.jpg</v>
      </c>
      <c r="B1987" s="5" t="s">
        <v>1987</v>
      </c>
    </row>
    <row r="1988" spans="1:2" x14ac:dyDescent="0.2">
      <c r="A1988" s="4" t="str">
        <f>HYPERLINK("http://cdn.wpsstatic.com/images/full/b906-572a53774cd9c.jpg", "http://cdn.wpsstatic.com/images/full/b906-572a53774cd9c.jpg")</f>
        <v>http://cdn.wpsstatic.com/images/full/b906-572a53774cd9c.jpg</v>
      </c>
      <c r="B1988" s="5" t="s">
        <v>1988</v>
      </c>
    </row>
    <row r="1989" spans="1:2" x14ac:dyDescent="0.2">
      <c r="A1989" s="4" t="str">
        <f>HYPERLINK("http://cdn.wpsstatic.com/images/full/b92e-604104ee10a75.jpg", "http://cdn.wpsstatic.com/images/full/b92e-604104ee10a75.jpg")</f>
        <v>http://cdn.wpsstatic.com/images/full/b92e-604104ee10a75.jpg</v>
      </c>
      <c r="B1989" s="5" t="s">
        <v>1989</v>
      </c>
    </row>
    <row r="1990" spans="1:2" x14ac:dyDescent="0.2">
      <c r="A1990" s="4" t="str">
        <f>HYPERLINK("http://cdn.wpsstatic.com/images/full/b957-572a532dacd2e.jpg", "http://cdn.wpsstatic.com/images/full/b957-572a532dacd2e.jpg")</f>
        <v>http://cdn.wpsstatic.com/images/full/b957-572a532dacd2e.jpg</v>
      </c>
      <c r="B1990" s="5" t="s">
        <v>1990</v>
      </c>
    </row>
    <row r="1991" spans="1:2" x14ac:dyDescent="0.2">
      <c r="A1991" s="4" t="str">
        <f>HYPERLINK("http://cdn.wpsstatic.com/images/full/b958-572a52fd36ad2.jpg", "http://cdn.wpsstatic.com/images/full/b958-572a52fd36ad2.jpg")</f>
        <v>http://cdn.wpsstatic.com/images/full/b958-572a52fd36ad2.jpg</v>
      </c>
      <c r="B1991" s="5" t="s">
        <v>1991</v>
      </c>
    </row>
    <row r="1992" spans="1:2" x14ac:dyDescent="0.2">
      <c r="A1992" s="4" t="str">
        <f>HYPERLINK("http://cdn.wpsstatic.com/images/full/b976-5fb44dda04ff8.jpg", "http://cdn.wpsstatic.com/images/full/b976-5fb44dda04ff8.jpg")</f>
        <v>http://cdn.wpsstatic.com/images/full/b976-5fb44dda04ff8.jpg</v>
      </c>
      <c r="B1992" s="5" t="s">
        <v>1992</v>
      </c>
    </row>
    <row r="1993" spans="1:2" x14ac:dyDescent="0.2">
      <c r="A1993" s="4" t="str">
        <f>HYPERLINK("http://cdn.wpsstatic.com/images/full/b98c-572a54a984240.jpg", "http://cdn.wpsstatic.com/images/full/b98c-572a54a984240.jpg")</f>
        <v>http://cdn.wpsstatic.com/images/full/b98c-572a54a984240.jpg</v>
      </c>
      <c r="B1993" s="5" t="s">
        <v>1993</v>
      </c>
    </row>
    <row r="1994" spans="1:2" x14ac:dyDescent="0.2">
      <c r="A1994" s="4" t="str">
        <f>HYPERLINK("http://cdn.wpsstatic.com/images/full/b9a4-5e023a52a0fec.jpg", "http://cdn.wpsstatic.com/images/full/b9a4-5e023a52a0fec.jpg")</f>
        <v>http://cdn.wpsstatic.com/images/full/b9a4-5e023a52a0fec.jpg</v>
      </c>
      <c r="B1994" s="5" t="s">
        <v>1994</v>
      </c>
    </row>
    <row r="1995" spans="1:2" x14ac:dyDescent="0.2">
      <c r="A1995" s="4" t="str">
        <f>HYPERLINK("http://cdn.wpsstatic.com/images/full/b9d1-5f32a8aad216b.jpg", "http://cdn.wpsstatic.com/images/full/b9d1-5f32a8aad216b.jpg")</f>
        <v>http://cdn.wpsstatic.com/images/full/b9d1-5f32a8aad216b.jpg</v>
      </c>
      <c r="B1995" s="5" t="s">
        <v>1995</v>
      </c>
    </row>
    <row r="1996" spans="1:2" x14ac:dyDescent="0.2">
      <c r="A1996" s="4" t="str">
        <f>HYPERLINK("http://cdn.wpsstatic.com/images/full/ba54-5d0295ce3eb45.jpg", "http://cdn.wpsstatic.com/images/full/ba54-5d0295ce3eb45.jpg")</f>
        <v>http://cdn.wpsstatic.com/images/full/ba54-5d0295ce3eb45.jpg</v>
      </c>
      <c r="B1996" s="5" t="s">
        <v>1996</v>
      </c>
    </row>
    <row r="1997" spans="1:2" x14ac:dyDescent="0.2">
      <c r="A1997" s="4" t="str">
        <f>HYPERLINK("http://cdn.wpsstatic.com/images/full/ba6a-5fb4561c5f51f.jpg", "http://cdn.wpsstatic.com/images/full/ba6a-5fb4561c5f51f.jpg")</f>
        <v>http://cdn.wpsstatic.com/images/full/ba6a-5fb4561c5f51f.jpg</v>
      </c>
      <c r="B1997" s="5" t="s">
        <v>1997</v>
      </c>
    </row>
    <row r="1998" spans="1:2" x14ac:dyDescent="0.2">
      <c r="A1998" s="4" t="str">
        <f>HYPERLINK("http://cdn.wpsstatic.com/images/full/ba71-572a5289507f6.jpg", "http://cdn.wpsstatic.com/images/full/ba71-572a5289507f6.jpg")</f>
        <v>http://cdn.wpsstatic.com/images/full/ba71-572a5289507f6.jpg</v>
      </c>
      <c r="B1998" s="5" t="s">
        <v>1998</v>
      </c>
    </row>
    <row r="1999" spans="1:2" x14ac:dyDescent="0.2">
      <c r="A1999" s="4" t="str">
        <f>HYPERLINK("http://cdn.wpsstatic.com/images/full/ba86-572a54e33fbb5.jpg", "http://cdn.wpsstatic.com/images/full/ba86-572a54e33fbb5.jpg")</f>
        <v>http://cdn.wpsstatic.com/images/full/ba86-572a54e33fbb5.jpg</v>
      </c>
      <c r="B1999" s="5" t="s">
        <v>1999</v>
      </c>
    </row>
    <row r="2000" spans="1:2" x14ac:dyDescent="0.2">
      <c r="A2000" s="4" t="str">
        <f>HYPERLINK("http://cdn.wpsstatic.com/images/full/ba8c-572a528675b21.jpg", "http://cdn.wpsstatic.com/images/full/ba8c-572a528675b21.jpg")</f>
        <v>http://cdn.wpsstatic.com/images/full/ba8c-572a528675b21.jpg</v>
      </c>
      <c r="B2000" s="5" t="s">
        <v>2000</v>
      </c>
    </row>
    <row r="2001" spans="1:2" x14ac:dyDescent="0.2">
      <c r="A2001" s="4" t="str">
        <f>HYPERLINK("http://cdn.wpsstatic.com/images/full/ba9a-572a544879fc7.jpg", "http://cdn.wpsstatic.com/images/full/ba9a-572a544879fc7.jpg")</f>
        <v>http://cdn.wpsstatic.com/images/full/ba9a-572a544879fc7.jpg</v>
      </c>
      <c r="B2001" s="5" t="s">
        <v>2001</v>
      </c>
    </row>
    <row r="2002" spans="1:2" x14ac:dyDescent="0.2">
      <c r="A2002" s="4" t="str">
        <f>HYPERLINK("http://cdn.wpsstatic.com/images/full/ba9d-572a53fa7929d.jpg", "http://cdn.wpsstatic.com/images/full/ba9d-572a53fa7929d.jpg")</f>
        <v>http://cdn.wpsstatic.com/images/full/ba9d-572a53fa7929d.jpg</v>
      </c>
      <c r="B2002" s="5" t="s">
        <v>2002</v>
      </c>
    </row>
    <row r="2003" spans="1:2" x14ac:dyDescent="0.2">
      <c r="A2003" s="4" t="str">
        <f>HYPERLINK("http://cdn.wpsstatic.com/images/full/baa9-572a5391428e1.jpg", "http://cdn.wpsstatic.com/images/full/baa9-572a5391428e1.jpg")</f>
        <v>http://cdn.wpsstatic.com/images/full/baa9-572a5391428e1.jpg</v>
      </c>
      <c r="B2003" s="5" t="s">
        <v>2003</v>
      </c>
    </row>
    <row r="2004" spans="1:2" x14ac:dyDescent="0.2">
      <c r="A2004" s="4" t="str">
        <f>HYPERLINK("http://cdn.wpsstatic.com/images/full/babe-5d02908dc32d5.jpg", "http://cdn.wpsstatic.com/images/full/babe-5d02908dc32d5.jpg")</f>
        <v>http://cdn.wpsstatic.com/images/full/babe-5d02908dc32d5.jpg</v>
      </c>
      <c r="B2004" s="5" t="s">
        <v>2004</v>
      </c>
    </row>
    <row r="2005" spans="1:2" x14ac:dyDescent="0.2">
      <c r="A2005" s="4" t="str">
        <f>HYPERLINK("http://cdn.wpsstatic.com/images/full/bad2-572a552e31d28.jpg", "http://cdn.wpsstatic.com/images/full/bad2-572a552e31d28.jpg")</f>
        <v>http://cdn.wpsstatic.com/images/full/bad2-572a552e31d28.jpg</v>
      </c>
      <c r="B2005" s="5" t="s">
        <v>2005</v>
      </c>
    </row>
    <row r="2006" spans="1:2" x14ac:dyDescent="0.2">
      <c r="A2006" s="4" t="str">
        <f>HYPERLINK("http://cdn.wpsstatic.com/images/full/bad2-5d028e4f8bfc8.jpg", "http://cdn.wpsstatic.com/images/full/bad2-5d028e4f8bfc8.jpg")</f>
        <v>http://cdn.wpsstatic.com/images/full/bad2-5d028e4f8bfc8.jpg</v>
      </c>
      <c r="B2006" s="5" t="s">
        <v>2006</v>
      </c>
    </row>
    <row r="2007" spans="1:2" x14ac:dyDescent="0.2">
      <c r="A2007" s="4" t="str">
        <f>HYPERLINK("http://cdn.wpsstatic.com/images/full/bad4-572a535465688.jpg", "http://cdn.wpsstatic.com/images/full/bad4-572a535465688.jpg")</f>
        <v>http://cdn.wpsstatic.com/images/full/bad4-572a535465688.jpg</v>
      </c>
      <c r="B2007" s="5" t="s">
        <v>2007</v>
      </c>
    </row>
    <row r="2008" spans="1:2" x14ac:dyDescent="0.2">
      <c r="A2008" s="4" t="str">
        <f>HYPERLINK("http://cdn.wpsstatic.com/images/full/bb18-603e917ad1a1d.jpg", "http://cdn.wpsstatic.com/images/full/bb18-603e917ad1a1d.jpg")</f>
        <v>http://cdn.wpsstatic.com/images/full/bb18-603e917ad1a1d.jpg</v>
      </c>
      <c r="B2008" s="5" t="s">
        <v>2008</v>
      </c>
    </row>
    <row r="2009" spans="1:2" x14ac:dyDescent="0.2">
      <c r="A2009" s="4" t="str">
        <f>HYPERLINK("http://cdn.wpsstatic.com/images/full/bb20-572a54b279020.jpg", "http://cdn.wpsstatic.com/images/full/bb20-572a54b279020.jpg")</f>
        <v>http://cdn.wpsstatic.com/images/full/bb20-572a54b279020.jpg</v>
      </c>
      <c r="B2009" s="5" t="s">
        <v>2009</v>
      </c>
    </row>
    <row r="2010" spans="1:2" x14ac:dyDescent="0.2">
      <c r="A2010" s="4" t="str">
        <f>HYPERLINK("http://cdn.wpsstatic.com/images/full/bb27-572a5255d1264.jpg", "http://cdn.wpsstatic.com/images/full/bb27-572a5255d1264.jpg")</f>
        <v>http://cdn.wpsstatic.com/images/full/bb27-572a5255d1264.jpg</v>
      </c>
      <c r="B2010" s="5" t="s">
        <v>2010</v>
      </c>
    </row>
    <row r="2011" spans="1:2" x14ac:dyDescent="0.2">
      <c r="A2011" s="4" t="str">
        <f>HYPERLINK("http://cdn.wpsstatic.com/images/full/bb30-61144f52bcd10.jpeg", "http://cdn.wpsstatic.com/images/full/bb30-61144f52bcd10.jpeg")</f>
        <v>http://cdn.wpsstatic.com/images/full/bb30-61144f52bcd10.jpeg</v>
      </c>
      <c r="B2011" s="5" t="s">
        <v>2011</v>
      </c>
    </row>
    <row r="2012" spans="1:2" x14ac:dyDescent="0.2">
      <c r="A2012" s="4" t="str">
        <f>HYPERLINK("http://cdn.wpsstatic.com/images/full/bb48-572a54c8e28d8.jpg", "http://cdn.wpsstatic.com/images/full/bb48-572a54c8e28d8.jpg")</f>
        <v>http://cdn.wpsstatic.com/images/full/bb48-572a54c8e28d8.jpg</v>
      </c>
      <c r="B2012" s="5" t="s">
        <v>2012</v>
      </c>
    </row>
    <row r="2013" spans="1:2" x14ac:dyDescent="0.2">
      <c r="A2013" s="4" t="str">
        <f>HYPERLINK("http://cdn.wpsstatic.com/images/full/bb4f-572a542ad2db6.jpg", "http://cdn.wpsstatic.com/images/full/bb4f-572a542ad2db6.jpg")</f>
        <v>http://cdn.wpsstatic.com/images/full/bb4f-572a542ad2db6.jpg</v>
      </c>
      <c r="B2013" s="5" t="s">
        <v>2013</v>
      </c>
    </row>
    <row r="2014" spans="1:2" x14ac:dyDescent="0.2">
      <c r="A2014" s="4" t="str">
        <f>HYPERLINK("http://cdn.wpsstatic.com/images/full/bb4f-5f57ac2e2f80e.jpg", "http://cdn.wpsstatic.com/images/full/bb4f-5f57ac2e2f80e.jpg")</f>
        <v>http://cdn.wpsstatic.com/images/full/bb4f-5f57ac2e2f80e.jpg</v>
      </c>
      <c r="B2014" s="5" t="s">
        <v>2014</v>
      </c>
    </row>
    <row r="2015" spans="1:2" x14ac:dyDescent="0.2">
      <c r="A2015" s="4" t="str">
        <f>HYPERLINK("http://cdn.wpsstatic.com/images/full/bb5e-5885c210b9695.jpg", "http://cdn.wpsstatic.com/images/full/bb5e-5885c210b9695.jpg")</f>
        <v>http://cdn.wpsstatic.com/images/full/bb5e-5885c210b9695.jpg</v>
      </c>
      <c r="B2015" s="5" t="s">
        <v>2015</v>
      </c>
    </row>
    <row r="2016" spans="1:2" x14ac:dyDescent="0.2">
      <c r="A2016" s="4" t="str">
        <f>HYPERLINK("http://cdn.wpsstatic.com/images/full/bb69-572a54db6b893.jpg", "http://cdn.wpsstatic.com/images/full/bb69-572a54db6b893.jpg")</f>
        <v>http://cdn.wpsstatic.com/images/full/bb69-572a54db6b893.jpg</v>
      </c>
      <c r="B2016" s="5" t="s">
        <v>2016</v>
      </c>
    </row>
    <row r="2017" spans="1:2" x14ac:dyDescent="0.2">
      <c r="A2017" s="4" t="str">
        <f>HYPERLINK("http://cdn.wpsstatic.com/images/full/bb90-572a52c1bf7a3.jpg", "http://cdn.wpsstatic.com/images/full/bb90-572a52c1bf7a3.jpg")</f>
        <v>http://cdn.wpsstatic.com/images/full/bb90-572a52c1bf7a3.jpg</v>
      </c>
      <c r="B2017" s="5" t="s">
        <v>2017</v>
      </c>
    </row>
    <row r="2018" spans="1:2" x14ac:dyDescent="0.2">
      <c r="A2018" s="4" t="str">
        <f>HYPERLINK("http://cdn.wpsstatic.com/images/full/bb95-603e9130e192a.jpg", "http://cdn.wpsstatic.com/images/full/bb95-603e9130e192a.jpg")</f>
        <v>http://cdn.wpsstatic.com/images/full/bb95-603e9130e192a.jpg</v>
      </c>
      <c r="B2018" s="5" t="s">
        <v>2018</v>
      </c>
    </row>
    <row r="2019" spans="1:2" x14ac:dyDescent="0.2">
      <c r="A2019" s="4" t="str">
        <f>HYPERLINK("http://cdn.wpsstatic.com/images/full/bbdb-572a5254cf8c0.jpg", "http://cdn.wpsstatic.com/images/full/bbdb-572a5254cf8c0.jpg")</f>
        <v>http://cdn.wpsstatic.com/images/full/bbdb-572a5254cf8c0.jpg</v>
      </c>
      <c r="B2019" s="5" t="s">
        <v>2019</v>
      </c>
    </row>
    <row r="2020" spans="1:2" x14ac:dyDescent="0.2">
      <c r="A2020" s="4" t="str">
        <f>HYPERLINK("http://cdn.wpsstatic.com/images/full/bc18-572a549d9ce6b.jpg", "http://cdn.wpsstatic.com/images/full/bc18-572a549d9ce6b.jpg")</f>
        <v>http://cdn.wpsstatic.com/images/full/bc18-572a549d9ce6b.jpg</v>
      </c>
      <c r="B2020" s="5" t="s">
        <v>2020</v>
      </c>
    </row>
    <row r="2021" spans="1:2" x14ac:dyDescent="0.2">
      <c r="A2021" s="4" t="str">
        <f>HYPERLINK("http://cdn.wpsstatic.com/images/full/bc59-572a53d567884.jpg", "http://cdn.wpsstatic.com/images/full/bc59-572a53d567884.jpg")</f>
        <v>http://cdn.wpsstatic.com/images/full/bc59-572a53d567884.jpg</v>
      </c>
      <c r="B2021" s="5" t="s">
        <v>2021</v>
      </c>
    </row>
    <row r="2022" spans="1:2" x14ac:dyDescent="0.2">
      <c r="A2022" s="4" t="str">
        <f>HYPERLINK("http://cdn.wpsstatic.com/images/full/bc5f-572a533e02519.jpg", "http://cdn.wpsstatic.com/images/full/bc5f-572a533e02519.jpg")</f>
        <v>http://cdn.wpsstatic.com/images/full/bc5f-572a533e02519.jpg</v>
      </c>
      <c r="B2022" s="5" t="s">
        <v>2022</v>
      </c>
    </row>
    <row r="2023" spans="1:2" x14ac:dyDescent="0.2">
      <c r="A2023" s="4" t="str">
        <f>HYPERLINK("http://cdn.wpsstatic.com/images/full/bca6-572a54801991e.jpg", "http://cdn.wpsstatic.com/images/full/bca6-572a54801991e.jpg")</f>
        <v>http://cdn.wpsstatic.com/images/full/bca6-572a54801991e.jpg</v>
      </c>
      <c r="B2023" s="5" t="s">
        <v>2023</v>
      </c>
    </row>
    <row r="2024" spans="1:2" x14ac:dyDescent="0.2">
      <c r="A2024" s="4" t="str">
        <f>HYPERLINK("http://cdn.wpsstatic.com/images/full/bca7-60c11d34f14fd.png", "http://cdn.wpsstatic.com/images/full/bca7-60c11d34f14fd.png")</f>
        <v>http://cdn.wpsstatic.com/images/full/bca7-60c11d34f14fd.png</v>
      </c>
      <c r="B2024" s="5" t="s">
        <v>2024</v>
      </c>
    </row>
    <row r="2025" spans="1:2" x14ac:dyDescent="0.2">
      <c r="A2025" s="4" t="str">
        <f>HYPERLINK("http://cdn.wpsstatic.com/images/full/bcaa-572a56261ef1c.jpg", "http://cdn.wpsstatic.com/images/full/bcaa-572a56261ef1c.jpg")</f>
        <v>http://cdn.wpsstatic.com/images/full/bcaa-572a56261ef1c.jpg</v>
      </c>
      <c r="B2025" s="5" t="s">
        <v>2025</v>
      </c>
    </row>
    <row r="2026" spans="1:2" x14ac:dyDescent="0.2">
      <c r="A2026" s="4" t="str">
        <f>HYPERLINK("http://cdn.wpsstatic.com/images/full/bcad-5d029df157d18.jpg", "http://cdn.wpsstatic.com/images/full/bcad-5d029df157d18.jpg")</f>
        <v>http://cdn.wpsstatic.com/images/full/bcad-5d029df157d18.jpg</v>
      </c>
      <c r="B2026" s="5" t="s">
        <v>2026</v>
      </c>
    </row>
    <row r="2027" spans="1:2" x14ac:dyDescent="0.2">
      <c r="A2027" s="4" t="str">
        <f>HYPERLINK("http://cdn.wpsstatic.com/images/full/bcd4-5cca0a8504e9e.jpg", "http://cdn.wpsstatic.com/images/full/bcd4-5cca0a8504e9e.jpg")</f>
        <v>http://cdn.wpsstatic.com/images/full/bcd4-5cca0a8504e9e.jpg</v>
      </c>
      <c r="B2027" s="5" t="s">
        <v>2027</v>
      </c>
    </row>
    <row r="2028" spans="1:2" x14ac:dyDescent="0.2">
      <c r="A2028" s="4" t="str">
        <f>HYPERLINK("http://cdn.wpsstatic.com/images/full/bceb-572a5630b521d.jpg", "http://cdn.wpsstatic.com/images/full/bceb-572a5630b521d.jpg")</f>
        <v>http://cdn.wpsstatic.com/images/full/bceb-572a5630b521d.jpg</v>
      </c>
      <c r="B2028" s="5" t="s">
        <v>2028</v>
      </c>
    </row>
    <row r="2029" spans="1:2" x14ac:dyDescent="0.2">
      <c r="A2029" s="4" t="str">
        <f>HYPERLINK("http://cdn.wpsstatic.com/images/full/bd1e-572a550ad1a15.jpg", "http://cdn.wpsstatic.com/images/full/bd1e-572a550ad1a15.jpg")</f>
        <v>http://cdn.wpsstatic.com/images/full/bd1e-572a550ad1a15.jpg</v>
      </c>
      <c r="B2029" s="5" t="s">
        <v>2029</v>
      </c>
    </row>
    <row r="2030" spans="1:2" x14ac:dyDescent="0.2">
      <c r="A2030" s="4" t="str">
        <f>HYPERLINK("http://cdn.wpsstatic.com/images/full/bd51-5885c23429409.jpg", "http://cdn.wpsstatic.com/images/full/bd51-5885c23429409.jpg")</f>
        <v>http://cdn.wpsstatic.com/images/full/bd51-5885c23429409.jpg</v>
      </c>
      <c r="B2030" s="5" t="s">
        <v>2030</v>
      </c>
    </row>
    <row r="2031" spans="1:2" x14ac:dyDescent="0.2">
      <c r="A2031" s="4" t="str">
        <f>HYPERLINK("http://cdn.wpsstatic.com/images/full/bd52-572a545d87478.jpg", "http://cdn.wpsstatic.com/images/full/bd52-572a545d87478.jpg")</f>
        <v>http://cdn.wpsstatic.com/images/full/bd52-572a545d87478.jpg</v>
      </c>
      <c r="B2031" s="5" t="s">
        <v>2031</v>
      </c>
    </row>
    <row r="2032" spans="1:2" x14ac:dyDescent="0.2">
      <c r="A2032" s="4" t="str">
        <f>HYPERLINK("http://cdn.wpsstatic.com/images/full/bd67-5ecd3c38577f1.jpg", "http://cdn.wpsstatic.com/images/full/bd67-5ecd3c38577f1.jpg")</f>
        <v>http://cdn.wpsstatic.com/images/full/bd67-5ecd3c38577f1.jpg</v>
      </c>
      <c r="B2032" s="5" t="s">
        <v>2032</v>
      </c>
    </row>
    <row r="2033" spans="1:2" x14ac:dyDescent="0.2">
      <c r="A2033" s="4" t="str">
        <f>HYPERLINK("http://cdn.wpsstatic.com/images/full/bd6b-572a53a4c469b.jpg", "http://cdn.wpsstatic.com/images/full/bd6b-572a53a4c469b.jpg")</f>
        <v>http://cdn.wpsstatic.com/images/full/bd6b-572a53a4c469b.jpg</v>
      </c>
      <c r="B2033" s="5" t="s">
        <v>2033</v>
      </c>
    </row>
    <row r="2034" spans="1:2" x14ac:dyDescent="0.2">
      <c r="A2034" s="4" t="str">
        <f>HYPERLINK("http://cdn.wpsstatic.com/images/full/bda0-572a54907e2dd.jpg", "http://cdn.wpsstatic.com/images/full/bda0-572a54907e2dd.jpg")</f>
        <v>http://cdn.wpsstatic.com/images/full/bda0-572a54907e2dd.jpg</v>
      </c>
      <c r="B2034" s="5" t="s">
        <v>2034</v>
      </c>
    </row>
    <row r="2035" spans="1:2" x14ac:dyDescent="0.2">
      <c r="A2035" s="4" t="str">
        <f>HYPERLINK("http://cdn.wpsstatic.com/images/full/bdb3-5ecd3c37d45f9.jpg", "http://cdn.wpsstatic.com/images/full/bdb3-5ecd3c37d45f9.jpg")</f>
        <v>http://cdn.wpsstatic.com/images/full/bdb3-5ecd3c37d45f9.jpg</v>
      </c>
      <c r="B2035" s="5" t="s">
        <v>2035</v>
      </c>
    </row>
    <row r="2036" spans="1:2" x14ac:dyDescent="0.2">
      <c r="A2036" s="4" t="str">
        <f>HYPERLINK("http://cdn.wpsstatic.com/images/full/bdd6-572a54ed2b1b2.jpg", "http://cdn.wpsstatic.com/images/full/bdd6-572a54ed2b1b2.jpg")</f>
        <v>http://cdn.wpsstatic.com/images/full/bdd6-572a54ed2b1b2.jpg</v>
      </c>
      <c r="B2036" s="5" t="s">
        <v>2036</v>
      </c>
    </row>
    <row r="2037" spans="1:2" x14ac:dyDescent="0.2">
      <c r="A2037" s="4" t="str">
        <f>HYPERLINK("http://cdn.wpsstatic.com/images/full/bddc-5d16846b73b7c.jpg", "http://cdn.wpsstatic.com/images/full/bddc-5d16846b73b7c.jpg")</f>
        <v>http://cdn.wpsstatic.com/images/full/bddc-5d16846b73b7c.jpg</v>
      </c>
      <c r="B2037" s="5" t="s">
        <v>2037</v>
      </c>
    </row>
    <row r="2038" spans="1:2" x14ac:dyDescent="0.2">
      <c r="A2038" s="4" t="str">
        <f>HYPERLINK("http://cdn.wpsstatic.com/images/full/bdf0-5885c2589deb1.jpg", "http://cdn.wpsstatic.com/images/full/bdf0-5885c2589deb1.jpg")</f>
        <v>http://cdn.wpsstatic.com/images/full/bdf0-5885c2589deb1.jpg</v>
      </c>
      <c r="B2038" s="5" t="s">
        <v>2038</v>
      </c>
    </row>
    <row r="2039" spans="1:2" x14ac:dyDescent="0.2">
      <c r="A2039" s="4" t="str">
        <f>HYPERLINK("http://cdn.wpsstatic.com/images/full/bdfd-572a5541bfd56.jpg", "http://cdn.wpsstatic.com/images/full/bdfd-572a5541bfd56.jpg")</f>
        <v>http://cdn.wpsstatic.com/images/full/bdfd-572a5541bfd56.jpg</v>
      </c>
      <c r="B2039" s="5" t="s">
        <v>2039</v>
      </c>
    </row>
    <row r="2040" spans="1:2" x14ac:dyDescent="0.2">
      <c r="A2040" s="4" t="str">
        <f>HYPERLINK("http://cdn.wpsstatic.com/images/full/be00-572a5545315fe.jpg", "http://cdn.wpsstatic.com/images/full/be00-572a5545315fe.jpg")</f>
        <v>http://cdn.wpsstatic.com/images/full/be00-572a5545315fe.jpg</v>
      </c>
      <c r="B2040" s="5" t="s">
        <v>2040</v>
      </c>
    </row>
    <row r="2041" spans="1:2" x14ac:dyDescent="0.2">
      <c r="A2041" s="4" t="str">
        <f>HYPERLINK("http://cdn.wpsstatic.com/images/full/be22-572a54617b4f3.jpg", "http://cdn.wpsstatic.com/images/full/be22-572a54617b4f3.jpg")</f>
        <v>http://cdn.wpsstatic.com/images/full/be22-572a54617b4f3.jpg</v>
      </c>
      <c r="B2041" s="5" t="s">
        <v>2041</v>
      </c>
    </row>
    <row r="2042" spans="1:2" x14ac:dyDescent="0.2">
      <c r="A2042" s="4" t="str">
        <f>HYPERLINK("http://cdn.wpsstatic.com/images/full/be3a-5d029118d2586.jpg", "http://cdn.wpsstatic.com/images/full/be3a-5d029118d2586.jpg")</f>
        <v>http://cdn.wpsstatic.com/images/full/be3a-5d029118d2586.jpg</v>
      </c>
      <c r="B2042" s="5" t="s">
        <v>2042</v>
      </c>
    </row>
    <row r="2043" spans="1:2" x14ac:dyDescent="0.2">
      <c r="A2043" s="4" t="str">
        <f>HYPERLINK("http://cdn.wpsstatic.com/images/full/be6e-572a530eefe27.jpg", "http://cdn.wpsstatic.com/images/full/be6e-572a530eefe27.jpg")</f>
        <v>http://cdn.wpsstatic.com/images/full/be6e-572a530eefe27.jpg</v>
      </c>
      <c r="B2043" s="5" t="s">
        <v>2043</v>
      </c>
    </row>
    <row r="2044" spans="1:2" x14ac:dyDescent="0.2">
      <c r="A2044" s="4" t="str">
        <f>HYPERLINK("http://cdn.wpsstatic.com/images/full/be7f-5d0297dc74392.jpg", "http://cdn.wpsstatic.com/images/full/be7f-5d0297dc74392.jpg")</f>
        <v>http://cdn.wpsstatic.com/images/full/be7f-5d0297dc74392.jpg</v>
      </c>
      <c r="B2044" s="5" t="s">
        <v>2044</v>
      </c>
    </row>
    <row r="2045" spans="1:2" x14ac:dyDescent="0.2">
      <c r="A2045" s="4" t="str">
        <f>HYPERLINK("http://cdn.wpsstatic.com/images/full/bea0-5885c21cde550.jpg", "http://cdn.wpsstatic.com/images/full/bea0-5885c21cde550.jpg")</f>
        <v>http://cdn.wpsstatic.com/images/full/bea0-5885c21cde550.jpg</v>
      </c>
      <c r="B2045" s="5" t="s">
        <v>2045</v>
      </c>
    </row>
    <row r="2046" spans="1:2" x14ac:dyDescent="0.2">
      <c r="A2046" s="4" t="str">
        <f>HYPERLINK("http://cdn.wpsstatic.com/images/full/beb0-5f57a9f246fe7.jpg", "http://cdn.wpsstatic.com/images/full/beb0-5f57a9f246fe7.jpg")</f>
        <v>http://cdn.wpsstatic.com/images/full/beb0-5f57a9f246fe7.jpg</v>
      </c>
      <c r="B2046" s="5" t="s">
        <v>2046</v>
      </c>
    </row>
    <row r="2047" spans="1:2" x14ac:dyDescent="0.2">
      <c r="A2047" s="4" t="str">
        <f>HYPERLINK("http://cdn.wpsstatic.com/images/full/beb3-611d6460ac89c.jpeg", "http://cdn.wpsstatic.com/images/full/beb3-611d6460ac89c.jpeg")</f>
        <v>http://cdn.wpsstatic.com/images/full/beb3-611d6460ac89c.jpeg</v>
      </c>
      <c r="B2047" s="5" t="s">
        <v>2047</v>
      </c>
    </row>
    <row r="2048" spans="1:2" x14ac:dyDescent="0.2">
      <c r="A2048" s="4" t="str">
        <f>HYPERLINK("http://cdn.wpsstatic.com/images/full/beb8-572a52bf59dce.jpg", "http://cdn.wpsstatic.com/images/full/beb8-572a52bf59dce.jpg")</f>
        <v>http://cdn.wpsstatic.com/images/full/beb8-572a52bf59dce.jpg</v>
      </c>
      <c r="B2048" s="5" t="s">
        <v>2048</v>
      </c>
    </row>
    <row r="2049" spans="1:2" x14ac:dyDescent="0.2">
      <c r="A2049" s="4" t="str">
        <f>HYPERLINK("http://cdn.wpsstatic.com/images/full/bf1f-572a52b580372.jpg", "http://cdn.wpsstatic.com/images/full/bf1f-572a52b580372.jpg")</f>
        <v>http://cdn.wpsstatic.com/images/full/bf1f-572a52b580372.jpg</v>
      </c>
      <c r="B2049" s="5" t="s">
        <v>2049</v>
      </c>
    </row>
    <row r="2050" spans="1:2" x14ac:dyDescent="0.2">
      <c r="A2050" s="4" t="str">
        <f>HYPERLINK("http://cdn.wpsstatic.com/images/full/bf1f-5d029c1f952f2.jpg", "http://cdn.wpsstatic.com/images/full/bf1f-5d029c1f952f2.jpg")</f>
        <v>http://cdn.wpsstatic.com/images/full/bf1f-5d029c1f952f2.jpg</v>
      </c>
      <c r="B2050" s="5" t="s">
        <v>2050</v>
      </c>
    </row>
    <row r="2051" spans="1:2" x14ac:dyDescent="0.2">
      <c r="A2051" s="4" t="str">
        <f>HYPERLINK("http://cdn.wpsstatic.com/images/full/bf35-572a5597ce0f8.jpg", "http://cdn.wpsstatic.com/images/full/bf35-572a5597ce0f8.jpg")</f>
        <v>http://cdn.wpsstatic.com/images/full/bf35-572a5597ce0f8.jpg</v>
      </c>
      <c r="B2051" s="5" t="s">
        <v>2051</v>
      </c>
    </row>
    <row r="2052" spans="1:2" x14ac:dyDescent="0.2">
      <c r="A2052" s="4" t="str">
        <f>HYPERLINK("http://cdn.wpsstatic.com/images/full/bf36-661543651ee8a.jpg", "http://cdn.wpsstatic.com/images/full/bf36-661543651ee8a.jpg")</f>
        <v>http://cdn.wpsstatic.com/images/full/bf36-661543651ee8a.jpg</v>
      </c>
      <c r="B2052" s="5" t="s">
        <v>2052</v>
      </c>
    </row>
    <row r="2053" spans="1:2" x14ac:dyDescent="0.2">
      <c r="A2053" s="4" t="str">
        <f>HYPERLINK("http://cdn.wpsstatic.com/images/full/bf3e-572a54bb9f237.jpg", "http://cdn.wpsstatic.com/images/full/bf3e-572a54bb9f237.jpg")</f>
        <v>http://cdn.wpsstatic.com/images/full/bf3e-572a54bb9f237.jpg</v>
      </c>
      <c r="B2053" s="5" t="s">
        <v>2053</v>
      </c>
    </row>
    <row r="2054" spans="1:2" x14ac:dyDescent="0.2">
      <c r="A2054" s="4" t="str">
        <f>HYPERLINK("http://cdn.wpsstatic.com/images/full/bf4a-572a53dd4988c.jpg", "http://cdn.wpsstatic.com/images/full/bf4a-572a53dd4988c.jpg")</f>
        <v>http://cdn.wpsstatic.com/images/full/bf4a-572a53dd4988c.jpg</v>
      </c>
      <c r="B2054" s="5" t="s">
        <v>2054</v>
      </c>
    </row>
    <row r="2055" spans="1:2" x14ac:dyDescent="0.2">
      <c r="A2055" s="4" t="str">
        <f>HYPERLINK("http://cdn.wpsstatic.com/images/full/bf6b-572a52c6aa4cd.jpg", "http://cdn.wpsstatic.com/images/full/bf6b-572a52c6aa4cd.jpg")</f>
        <v>http://cdn.wpsstatic.com/images/full/bf6b-572a52c6aa4cd.jpg</v>
      </c>
      <c r="B2055" s="5" t="s">
        <v>2055</v>
      </c>
    </row>
    <row r="2056" spans="1:2" x14ac:dyDescent="0.2">
      <c r="A2056" s="4" t="str">
        <f>HYPERLINK("http://cdn.wpsstatic.com/images/full/bfa7-572a533d85405.jpg", "http://cdn.wpsstatic.com/images/full/bfa7-572a533d85405.jpg")</f>
        <v>http://cdn.wpsstatic.com/images/full/bfa7-572a533d85405.jpg</v>
      </c>
      <c r="B2056" s="5" t="s">
        <v>2056</v>
      </c>
    </row>
    <row r="2057" spans="1:2" x14ac:dyDescent="0.2">
      <c r="A2057" s="4" t="str">
        <f>HYPERLINK("http://cdn.wpsstatic.com/images/full/bfb3-572a5591e7cb6.jpg", "http://cdn.wpsstatic.com/images/full/bfb3-572a5591e7cb6.jpg")</f>
        <v>http://cdn.wpsstatic.com/images/full/bfb3-572a5591e7cb6.jpg</v>
      </c>
      <c r="B2057" s="5" t="s">
        <v>2057</v>
      </c>
    </row>
    <row r="2058" spans="1:2" x14ac:dyDescent="0.2">
      <c r="A2058" s="4" t="str">
        <f>HYPERLINK("http://cdn.wpsstatic.com/images/full/bfc1-5d029eb3b0cb8.jpg", "http://cdn.wpsstatic.com/images/full/bfc1-5d029eb3b0cb8.jpg")</f>
        <v>http://cdn.wpsstatic.com/images/full/bfc1-5d029eb3b0cb8.jpg</v>
      </c>
      <c r="B2058" s="5" t="s">
        <v>2058</v>
      </c>
    </row>
    <row r="2059" spans="1:2" x14ac:dyDescent="0.2">
      <c r="A2059" s="4" t="str">
        <f>HYPERLINK("http://cdn.wpsstatic.com/images/full/bfed-5f57b540ad28e.jpg", "http://cdn.wpsstatic.com/images/full/bfed-5f57b540ad28e.jpg")</f>
        <v>http://cdn.wpsstatic.com/images/full/bfed-5f57b540ad28e.jpg</v>
      </c>
      <c r="B2059" s="5" t="s">
        <v>2059</v>
      </c>
    </row>
    <row r="2060" spans="1:2" x14ac:dyDescent="0.2">
      <c r="A2060" s="4" t="str">
        <f>HYPERLINK("http://cdn.wpsstatic.com/images/full/bffe-5d79001208dcf.jpg", "http://cdn.wpsstatic.com/images/full/bffe-5d79001208dcf.jpg")</f>
        <v>http://cdn.wpsstatic.com/images/full/bffe-5d79001208dcf.jpg</v>
      </c>
      <c r="B2060" s="5" t="s">
        <v>2060</v>
      </c>
    </row>
    <row r="2061" spans="1:2" x14ac:dyDescent="0.2">
      <c r="A2061" s="4" t="str">
        <f>HYPERLINK("http://cdn.wpsstatic.com/images/full/c01e-572a55372260a.jpg", "http://cdn.wpsstatic.com/images/full/c01e-572a55372260a.jpg")</f>
        <v>http://cdn.wpsstatic.com/images/full/c01e-572a55372260a.jpg</v>
      </c>
      <c r="B2061" s="5" t="s">
        <v>2061</v>
      </c>
    </row>
    <row r="2062" spans="1:2" x14ac:dyDescent="0.2">
      <c r="A2062" s="4" t="str">
        <f>HYPERLINK("http://cdn.wpsstatic.com/images/full/c028-61144d93b80a7.jpeg", "http://cdn.wpsstatic.com/images/full/c028-61144d93b80a7.jpeg")</f>
        <v>http://cdn.wpsstatic.com/images/full/c028-61144d93b80a7.jpeg</v>
      </c>
      <c r="B2062" s="5" t="s">
        <v>2062</v>
      </c>
    </row>
    <row r="2063" spans="1:2" x14ac:dyDescent="0.2">
      <c r="A2063" s="4" t="str">
        <f>HYPERLINK("http://cdn.wpsstatic.com/images/full/c034-572a53344ca79.jpg", "http://cdn.wpsstatic.com/images/full/c034-572a53344ca79.jpg")</f>
        <v>http://cdn.wpsstatic.com/images/full/c034-572a53344ca79.jpg</v>
      </c>
      <c r="B2063" s="5" t="s">
        <v>2063</v>
      </c>
    </row>
    <row r="2064" spans="1:2" x14ac:dyDescent="0.2">
      <c r="A2064" s="4" t="str">
        <f>HYPERLINK("http://cdn.wpsstatic.com/images/full/c057-572a534d96334.jpg", "http://cdn.wpsstatic.com/images/full/c057-572a534d96334.jpg")</f>
        <v>http://cdn.wpsstatic.com/images/full/c057-572a534d96334.jpg</v>
      </c>
      <c r="B2064" s="5" t="s">
        <v>2064</v>
      </c>
    </row>
    <row r="2065" spans="1:2" x14ac:dyDescent="0.2">
      <c r="A2065" s="4" t="str">
        <f>HYPERLINK("http://cdn.wpsstatic.com/images/full/c05c-572a54a395ad7.jpg", "http://cdn.wpsstatic.com/images/full/c05c-572a54a395ad7.jpg")</f>
        <v>http://cdn.wpsstatic.com/images/full/c05c-572a54a395ad7.jpg</v>
      </c>
      <c r="B2065" s="5" t="s">
        <v>2065</v>
      </c>
    </row>
    <row r="2066" spans="1:2" x14ac:dyDescent="0.2">
      <c r="A2066" s="4" t="str">
        <f>HYPERLINK("http://cdn.wpsstatic.com/images/full/c062-572a74fcca554.jpg", "http://cdn.wpsstatic.com/images/full/c062-572a74fcca554.jpg")</f>
        <v>http://cdn.wpsstatic.com/images/full/c062-572a74fcca554.jpg</v>
      </c>
      <c r="B2066" s="5" t="s">
        <v>2066</v>
      </c>
    </row>
    <row r="2067" spans="1:2" x14ac:dyDescent="0.2">
      <c r="A2067" s="4" t="str">
        <f>HYPERLINK("http://cdn.wpsstatic.com/images/full/c06a-572a54e3cf874.jpg", "http://cdn.wpsstatic.com/images/full/c06a-572a54e3cf874.jpg")</f>
        <v>http://cdn.wpsstatic.com/images/full/c06a-572a54e3cf874.jpg</v>
      </c>
      <c r="B2067" s="5" t="s">
        <v>2067</v>
      </c>
    </row>
    <row r="2068" spans="1:2" x14ac:dyDescent="0.2">
      <c r="A2068" s="4" t="str">
        <f>HYPERLINK("http://cdn.wpsstatic.com/images/full/c084-572a54006aae5.jpg", "http://cdn.wpsstatic.com/images/full/c084-572a54006aae5.jpg")</f>
        <v>http://cdn.wpsstatic.com/images/full/c084-572a54006aae5.jpg</v>
      </c>
      <c r="B2068" s="5" t="s">
        <v>2068</v>
      </c>
    </row>
    <row r="2069" spans="1:2" x14ac:dyDescent="0.2">
      <c r="A2069" s="4" t="str">
        <f>HYPERLINK("http://cdn.wpsstatic.com/images/full/c0a2-572a557cbc72f.jpg", "http://cdn.wpsstatic.com/images/full/c0a2-572a557cbc72f.jpg")</f>
        <v>http://cdn.wpsstatic.com/images/full/c0a2-572a557cbc72f.jpg</v>
      </c>
      <c r="B2069" s="5" t="s">
        <v>2069</v>
      </c>
    </row>
    <row r="2070" spans="1:2" x14ac:dyDescent="0.2">
      <c r="A2070" s="4" t="str">
        <f>HYPERLINK("http://cdn.wpsstatic.com/images/full/c0ba-572a527b3b4a1.jpg", "http://cdn.wpsstatic.com/images/full/c0ba-572a527b3b4a1.jpg")</f>
        <v>http://cdn.wpsstatic.com/images/full/c0ba-572a527b3b4a1.jpg</v>
      </c>
      <c r="B2070" s="5" t="s">
        <v>2070</v>
      </c>
    </row>
    <row r="2071" spans="1:2" x14ac:dyDescent="0.2">
      <c r="A2071" s="4" t="str">
        <f>HYPERLINK("http://cdn.wpsstatic.com/images/full/c0bf-5a283a1f4e69a.jpg", "http://cdn.wpsstatic.com/images/full/c0bf-5a283a1f4e69a.jpg")</f>
        <v>http://cdn.wpsstatic.com/images/full/c0bf-5a283a1f4e69a.jpg</v>
      </c>
      <c r="B2071" s="5" t="s">
        <v>2071</v>
      </c>
    </row>
    <row r="2072" spans="1:2" x14ac:dyDescent="0.2">
      <c r="A2072" s="4" t="str">
        <f>HYPERLINK("http://cdn.wpsstatic.com/images/full/c0d4-572a554005177.jpg", "http://cdn.wpsstatic.com/images/full/c0d4-572a554005177.jpg")</f>
        <v>http://cdn.wpsstatic.com/images/full/c0d4-572a554005177.jpg</v>
      </c>
      <c r="B2072" s="5" t="s">
        <v>2072</v>
      </c>
    </row>
    <row r="2073" spans="1:2" x14ac:dyDescent="0.2">
      <c r="A2073" s="4" t="str">
        <f>HYPERLINK("http://cdn.wpsstatic.com/images/full/c113-572a557c4315a.jpg", "http://cdn.wpsstatic.com/images/full/c113-572a557c4315a.jpg")</f>
        <v>http://cdn.wpsstatic.com/images/full/c113-572a557c4315a.jpg</v>
      </c>
      <c r="B2073" s="5" t="s">
        <v>2073</v>
      </c>
    </row>
    <row r="2074" spans="1:2" x14ac:dyDescent="0.2">
      <c r="A2074" s="4" t="str">
        <f>HYPERLINK("http://cdn.wpsstatic.com/images/full/c120-572a53364f227.jpg", "http://cdn.wpsstatic.com/images/full/c120-572a53364f227.jpg")</f>
        <v>http://cdn.wpsstatic.com/images/full/c120-572a53364f227.jpg</v>
      </c>
      <c r="B2074" s="5" t="s">
        <v>2074</v>
      </c>
    </row>
    <row r="2075" spans="1:2" x14ac:dyDescent="0.2">
      <c r="A2075" s="4" t="str">
        <f>HYPERLINK("http://cdn.wpsstatic.com/images/full/c124-572a553ed27fd.jpg", "http://cdn.wpsstatic.com/images/full/c124-572a553ed27fd.jpg")</f>
        <v>http://cdn.wpsstatic.com/images/full/c124-572a553ed27fd.jpg</v>
      </c>
      <c r="B2075" s="5" t="s">
        <v>2075</v>
      </c>
    </row>
    <row r="2076" spans="1:2" x14ac:dyDescent="0.2">
      <c r="A2076" s="4" t="str">
        <f>HYPERLINK("http://cdn.wpsstatic.com/images/full/c124-5f57a89e3b7a8.jpg", "http://cdn.wpsstatic.com/images/full/c124-5f57a89e3b7a8.jpg")</f>
        <v>http://cdn.wpsstatic.com/images/full/c124-5f57a89e3b7a8.jpg</v>
      </c>
      <c r="B2076" s="5" t="s">
        <v>2076</v>
      </c>
    </row>
    <row r="2077" spans="1:2" x14ac:dyDescent="0.2">
      <c r="A2077" s="4" t="str">
        <f>HYPERLINK("http://cdn.wpsstatic.com/images/full/c138-60a6aa94c20fe.png", "http://cdn.wpsstatic.com/images/full/c138-60a6aa94c20fe.png")</f>
        <v>http://cdn.wpsstatic.com/images/full/c138-60a6aa94c20fe.png</v>
      </c>
      <c r="B2077" s="5" t="s">
        <v>2077</v>
      </c>
    </row>
    <row r="2078" spans="1:2" x14ac:dyDescent="0.2">
      <c r="A2078" s="4" t="str">
        <f>HYPERLINK("http://cdn.wpsstatic.com/images/full/c150-5d0298f68cfa0.jpg", "http://cdn.wpsstatic.com/images/full/c150-5d0298f68cfa0.jpg")</f>
        <v>http://cdn.wpsstatic.com/images/full/c150-5d0298f68cfa0.jpg</v>
      </c>
      <c r="B2078" s="5" t="s">
        <v>2078</v>
      </c>
    </row>
    <row r="2079" spans="1:2" x14ac:dyDescent="0.2">
      <c r="A2079" s="4" t="str">
        <f>HYPERLINK("http://cdn.wpsstatic.com/images/full/c186-572a5492958e8.jpg", "http://cdn.wpsstatic.com/images/full/c186-572a5492958e8.jpg")</f>
        <v>http://cdn.wpsstatic.com/images/full/c186-572a5492958e8.jpg</v>
      </c>
      <c r="B2079" s="5" t="s">
        <v>2079</v>
      </c>
    </row>
    <row r="2080" spans="1:2" x14ac:dyDescent="0.2">
      <c r="A2080" s="4" t="str">
        <f>HYPERLINK("http://cdn.wpsstatic.com/images/full/c1a5-572a535fb12a8.jpg", "http://cdn.wpsstatic.com/images/full/c1a5-572a535fb12a8.jpg")</f>
        <v>http://cdn.wpsstatic.com/images/full/c1a5-572a535fb12a8.jpg</v>
      </c>
      <c r="B2080" s="5" t="s">
        <v>2080</v>
      </c>
    </row>
    <row r="2081" spans="1:2" x14ac:dyDescent="0.2">
      <c r="A2081" s="4" t="str">
        <f>HYPERLINK("http://cdn.wpsstatic.com/images/full/c1b7-572a5363b6a23.jpg", "http://cdn.wpsstatic.com/images/full/c1b7-572a5363b6a23.jpg")</f>
        <v>http://cdn.wpsstatic.com/images/full/c1b7-572a5363b6a23.jpg</v>
      </c>
      <c r="B2081" s="5" t="s">
        <v>2081</v>
      </c>
    </row>
    <row r="2082" spans="1:2" x14ac:dyDescent="0.2">
      <c r="A2082" s="4" t="str">
        <f>HYPERLINK("http://cdn.wpsstatic.com/images/full/c26a-5d0294ba5263b.jpg", "http://cdn.wpsstatic.com/images/full/c26a-5d0294ba5263b.jpg")</f>
        <v>http://cdn.wpsstatic.com/images/full/c26a-5d0294ba5263b.jpg</v>
      </c>
      <c r="B2082" s="5" t="s">
        <v>2082</v>
      </c>
    </row>
    <row r="2083" spans="1:2" x14ac:dyDescent="0.2">
      <c r="A2083" s="4" t="str">
        <f>HYPERLINK("http://cdn.wpsstatic.com/images/full/c26c-572a5358f291d.jpg", "http://cdn.wpsstatic.com/images/full/c26c-572a5358f291d.jpg")</f>
        <v>http://cdn.wpsstatic.com/images/full/c26c-572a5358f291d.jpg</v>
      </c>
      <c r="B2083" s="5" t="s">
        <v>2083</v>
      </c>
    </row>
    <row r="2084" spans="1:2" x14ac:dyDescent="0.2">
      <c r="A2084" s="4" t="str">
        <f>HYPERLINK("http://cdn.wpsstatic.com/images/full/c274-572a563035ba7.jpg", "http://cdn.wpsstatic.com/images/full/c274-572a563035ba7.jpg")</f>
        <v>http://cdn.wpsstatic.com/images/full/c274-572a563035ba7.jpg</v>
      </c>
      <c r="B2084" s="5" t="s">
        <v>2084</v>
      </c>
    </row>
    <row r="2085" spans="1:2" x14ac:dyDescent="0.2">
      <c r="A2085" s="4" t="str">
        <f>HYPERLINK("http://cdn.wpsstatic.com/images/full/c278-5a26f0ca58d4b.jpg", "http://cdn.wpsstatic.com/images/full/c278-5a26f0ca58d4b.jpg")</f>
        <v>http://cdn.wpsstatic.com/images/full/c278-5a26f0ca58d4b.jpg</v>
      </c>
      <c r="B2085" s="5" t="s">
        <v>2085</v>
      </c>
    </row>
    <row r="2086" spans="1:2" x14ac:dyDescent="0.2">
      <c r="A2086" s="4" t="str">
        <f>HYPERLINK("http://cdn.wpsstatic.com/images/full/c2ca-572a562ade98d.jpg", "http://cdn.wpsstatic.com/images/full/c2ca-572a562ade98d.jpg")</f>
        <v>http://cdn.wpsstatic.com/images/full/c2ca-572a562ade98d.jpg</v>
      </c>
      <c r="B2086" s="5" t="s">
        <v>2086</v>
      </c>
    </row>
    <row r="2087" spans="1:2" x14ac:dyDescent="0.2">
      <c r="A2087" s="4" t="str">
        <f>HYPERLINK("http://cdn.wpsstatic.com/images/full/c2ca-611d648ec19da.jpeg", "http://cdn.wpsstatic.com/images/full/c2ca-611d648ec19da.jpeg")</f>
        <v>http://cdn.wpsstatic.com/images/full/c2ca-611d648ec19da.jpeg</v>
      </c>
      <c r="B2087" s="5" t="s">
        <v>2087</v>
      </c>
    </row>
    <row r="2088" spans="1:2" x14ac:dyDescent="0.2">
      <c r="A2088" s="4" t="str">
        <f>HYPERLINK("http://cdn.wpsstatic.com/images/full/c326-572a53f272773.jpg", "http://cdn.wpsstatic.com/images/full/c326-572a53f272773.jpg")</f>
        <v>http://cdn.wpsstatic.com/images/full/c326-572a53f272773.jpg</v>
      </c>
      <c r="B2088" s="5" t="s">
        <v>2088</v>
      </c>
    </row>
    <row r="2089" spans="1:2" x14ac:dyDescent="0.2">
      <c r="A2089" s="4" t="str">
        <f>HYPERLINK("http://cdn.wpsstatic.com/images/full/c340-572a53a5e4fa0.jpg", "http://cdn.wpsstatic.com/images/full/c340-572a53a5e4fa0.jpg")</f>
        <v>http://cdn.wpsstatic.com/images/full/c340-572a53a5e4fa0.jpg</v>
      </c>
      <c r="B2089" s="5" t="s">
        <v>2089</v>
      </c>
    </row>
    <row r="2090" spans="1:2" x14ac:dyDescent="0.2">
      <c r="A2090" s="4" t="str">
        <f>HYPERLINK("http://cdn.wpsstatic.com/images/full/c36f-572a74ff00fe6.jpg", "http://cdn.wpsstatic.com/images/full/c36f-572a74ff00fe6.jpg")</f>
        <v>http://cdn.wpsstatic.com/images/full/c36f-572a74ff00fe6.jpg</v>
      </c>
      <c r="B2090" s="5" t="s">
        <v>2090</v>
      </c>
    </row>
    <row r="2091" spans="1:2" x14ac:dyDescent="0.2">
      <c r="A2091" s="4" t="str">
        <f>HYPERLINK("http://cdn.wpsstatic.com/images/full/c378-61041b334feff.png", "http://cdn.wpsstatic.com/images/full/c378-61041b334feff.png")</f>
        <v>http://cdn.wpsstatic.com/images/full/c378-61041b334feff.png</v>
      </c>
      <c r="B2091" s="5" t="s">
        <v>2091</v>
      </c>
    </row>
    <row r="2092" spans="1:2" x14ac:dyDescent="0.2">
      <c r="A2092" s="4" t="str">
        <f>HYPERLINK("http://cdn.wpsstatic.com/images/full/c3ab-5885c1f5c9fad.jpg", "http://cdn.wpsstatic.com/images/full/c3ab-5885c1f5c9fad.jpg")</f>
        <v>http://cdn.wpsstatic.com/images/full/c3ab-5885c1f5c9fad.jpg</v>
      </c>
      <c r="B2092" s="5" t="s">
        <v>2092</v>
      </c>
    </row>
    <row r="2093" spans="1:2" x14ac:dyDescent="0.2">
      <c r="A2093" s="4" t="str">
        <f>HYPERLINK("http://cdn.wpsstatic.com/images/full/c3bc-572a74fc36fcc.jpg", "http://cdn.wpsstatic.com/images/full/c3bc-572a74fc36fcc.jpg")</f>
        <v>http://cdn.wpsstatic.com/images/full/c3bc-572a74fc36fcc.jpg</v>
      </c>
      <c r="B2093" s="5" t="s">
        <v>2093</v>
      </c>
    </row>
    <row r="2094" spans="1:2" x14ac:dyDescent="0.2">
      <c r="A2094" s="4" t="str">
        <f>HYPERLINK("http://cdn.wpsstatic.com/images/full/c3e6-572a55aabbdc5.jpg", "http://cdn.wpsstatic.com/images/full/c3e6-572a55aabbdc5.jpg")</f>
        <v>http://cdn.wpsstatic.com/images/full/c3e6-572a55aabbdc5.jpg</v>
      </c>
      <c r="B2094" s="5" t="s">
        <v>2094</v>
      </c>
    </row>
    <row r="2095" spans="1:2" x14ac:dyDescent="0.2">
      <c r="A2095" s="4" t="str">
        <f>HYPERLINK("http://cdn.wpsstatic.com/images/full/c3f7-614c985e92a7e.jpg", "http://cdn.wpsstatic.com/images/full/c3f7-614c985e92a7e.jpg")</f>
        <v>http://cdn.wpsstatic.com/images/full/c3f7-614c985e92a7e.jpg</v>
      </c>
      <c r="B2095" s="5" t="s">
        <v>2095</v>
      </c>
    </row>
    <row r="2096" spans="1:2" x14ac:dyDescent="0.2">
      <c r="A2096" s="4" t="str">
        <f>HYPERLINK("http://cdn.wpsstatic.com/images/full/c3fc-572a53efb2f65.jpg", "http://cdn.wpsstatic.com/images/full/c3fc-572a53efb2f65.jpg")</f>
        <v>http://cdn.wpsstatic.com/images/full/c3fc-572a53efb2f65.jpg</v>
      </c>
      <c r="B2096" s="5" t="s">
        <v>2096</v>
      </c>
    </row>
    <row r="2097" spans="1:2" x14ac:dyDescent="0.2">
      <c r="A2097" s="4" t="str">
        <f>HYPERLINK("http://cdn.wpsstatic.com/images/full/c400-572a55a9b236a.jpg", "http://cdn.wpsstatic.com/images/full/c400-572a55a9b236a.jpg")</f>
        <v>http://cdn.wpsstatic.com/images/full/c400-572a55a9b236a.jpg</v>
      </c>
      <c r="B2097" s="5" t="s">
        <v>2097</v>
      </c>
    </row>
    <row r="2098" spans="1:2" x14ac:dyDescent="0.2">
      <c r="A2098" s="4" t="str">
        <f>HYPERLINK("http://cdn.wpsstatic.com/images/full/c42c-572a536cc9607.jpg", "http://cdn.wpsstatic.com/images/full/c42c-572a536cc9607.jpg")</f>
        <v>http://cdn.wpsstatic.com/images/full/c42c-572a536cc9607.jpg</v>
      </c>
      <c r="B2098" s="5" t="s">
        <v>2098</v>
      </c>
    </row>
    <row r="2099" spans="1:2" x14ac:dyDescent="0.2">
      <c r="A2099" s="4" t="str">
        <f>HYPERLINK("http://cdn.wpsstatic.com/images/full/c439-5885c23885f48.jpg", "http://cdn.wpsstatic.com/images/full/c439-5885c23885f48.jpg")</f>
        <v>http://cdn.wpsstatic.com/images/full/c439-5885c23885f48.jpg</v>
      </c>
      <c r="B2099" s="5" t="s">
        <v>2099</v>
      </c>
    </row>
    <row r="2100" spans="1:2" x14ac:dyDescent="0.2">
      <c r="A2100" s="4" t="str">
        <f>HYPERLINK("http://cdn.wpsstatic.com/images/full/c451-572a526223eaf.jpg", "http://cdn.wpsstatic.com/images/full/c451-572a526223eaf.jpg")</f>
        <v>http://cdn.wpsstatic.com/images/full/c451-572a526223eaf.jpg</v>
      </c>
      <c r="B2100" s="5" t="s">
        <v>2100</v>
      </c>
    </row>
    <row r="2101" spans="1:2" x14ac:dyDescent="0.2">
      <c r="A2101" s="4" t="str">
        <f>HYPERLINK("http://cdn.wpsstatic.com/images/full/c4b5-572a5390bb848.jpg", "http://cdn.wpsstatic.com/images/full/c4b5-572a5390bb848.jpg")</f>
        <v>http://cdn.wpsstatic.com/images/full/c4b5-572a5390bb848.jpg</v>
      </c>
      <c r="B2101" s="5" t="s">
        <v>2101</v>
      </c>
    </row>
    <row r="2102" spans="1:2" x14ac:dyDescent="0.2">
      <c r="A2102" s="4" t="str">
        <f>HYPERLINK("http://cdn.wpsstatic.com/images/full/c4c5-5f57b0c30b058.jpg", "http://cdn.wpsstatic.com/images/full/c4c5-5f57b0c30b058.jpg")</f>
        <v>http://cdn.wpsstatic.com/images/full/c4c5-5f57b0c30b058.jpg</v>
      </c>
      <c r="B2102" s="5" t="s">
        <v>2102</v>
      </c>
    </row>
    <row r="2103" spans="1:2" x14ac:dyDescent="0.2">
      <c r="A2103" s="4" t="str">
        <f>HYPERLINK("http://cdn.wpsstatic.com/images/full/c4cd-572a5489f1b62.jpg", "http://cdn.wpsstatic.com/images/full/c4cd-572a5489f1b62.jpg")</f>
        <v>http://cdn.wpsstatic.com/images/full/c4cd-572a5489f1b62.jpg</v>
      </c>
      <c r="B2103" s="5" t="s">
        <v>2103</v>
      </c>
    </row>
    <row r="2104" spans="1:2" x14ac:dyDescent="0.2">
      <c r="A2104" s="4" t="str">
        <f>HYPERLINK("http://cdn.wpsstatic.com/images/full/c4d8-572a53fcaa1e7.jpg", "http://cdn.wpsstatic.com/images/full/c4d8-572a53fcaa1e7.jpg")</f>
        <v>http://cdn.wpsstatic.com/images/full/c4d8-572a53fcaa1e7.jpg</v>
      </c>
      <c r="B2104" s="5" t="s">
        <v>2104</v>
      </c>
    </row>
    <row r="2105" spans="1:2" x14ac:dyDescent="0.2">
      <c r="A2105" s="4" t="str">
        <f>HYPERLINK("http://cdn.wpsstatic.com/images/full/c4fc-5885c1d20baf3.jpg", "http://cdn.wpsstatic.com/images/full/c4fc-5885c1d20baf3.jpg")</f>
        <v>http://cdn.wpsstatic.com/images/full/c4fc-5885c1d20baf3.jpg</v>
      </c>
      <c r="B2105" s="5" t="s">
        <v>2105</v>
      </c>
    </row>
    <row r="2106" spans="1:2" x14ac:dyDescent="0.2">
      <c r="A2106" s="4" t="str">
        <f>HYPERLINK("http://cdn.wpsstatic.com/images/full/c516-572a5334c5670.jpg", "http://cdn.wpsstatic.com/images/full/c516-572a5334c5670.jpg")</f>
        <v>http://cdn.wpsstatic.com/images/full/c516-572a5334c5670.jpg</v>
      </c>
      <c r="B2106" s="5" t="s">
        <v>2106</v>
      </c>
    </row>
    <row r="2107" spans="1:2" x14ac:dyDescent="0.2">
      <c r="A2107" s="4" t="str">
        <f>HYPERLINK("http://cdn.wpsstatic.com/images/full/c545-572a5641c08ad.jpg", "http://cdn.wpsstatic.com/images/full/c545-572a5641c08ad.jpg")</f>
        <v>http://cdn.wpsstatic.com/images/full/c545-572a5641c08ad.jpg</v>
      </c>
      <c r="B2107" s="5" t="s">
        <v>2107</v>
      </c>
    </row>
    <row r="2108" spans="1:2" x14ac:dyDescent="0.2">
      <c r="A2108" s="4" t="str">
        <f>HYPERLINK("http://cdn.wpsstatic.com/images/full/c54d-572a5505caec7.jpg", "http://cdn.wpsstatic.com/images/full/c54d-572a5505caec7.jpg")</f>
        <v>http://cdn.wpsstatic.com/images/full/c54d-572a5505caec7.jpg</v>
      </c>
      <c r="B2108" s="5" t="s">
        <v>2108</v>
      </c>
    </row>
    <row r="2109" spans="1:2" x14ac:dyDescent="0.2">
      <c r="A2109" s="4" t="str">
        <f>HYPERLINK("http://cdn.wpsstatic.com/images/full/c57f-572a74fab6967.jpg", "http://cdn.wpsstatic.com/images/full/c57f-572a74fab6967.jpg")</f>
        <v>http://cdn.wpsstatic.com/images/full/c57f-572a74fab6967.jpg</v>
      </c>
      <c r="B2109" s="5" t="s">
        <v>2109</v>
      </c>
    </row>
    <row r="2110" spans="1:2" x14ac:dyDescent="0.2">
      <c r="A2110" s="4" t="str">
        <f>HYPERLINK("http://cdn.wpsstatic.com/images/full/c592-572a52503c11d.jpg", "http://cdn.wpsstatic.com/images/full/c592-572a52503c11d.jpg")</f>
        <v>http://cdn.wpsstatic.com/images/full/c592-572a52503c11d.jpg</v>
      </c>
      <c r="B2110" s="5" t="s">
        <v>2110</v>
      </c>
    </row>
    <row r="2111" spans="1:2" x14ac:dyDescent="0.2">
      <c r="A2111" s="4" t="str">
        <f>HYPERLINK("http://cdn.wpsstatic.com/images/full/c5a4-5885c175c6723.jpg", "http://cdn.wpsstatic.com/images/full/c5a4-5885c175c6723.jpg")</f>
        <v>http://cdn.wpsstatic.com/images/full/c5a4-5885c175c6723.jpg</v>
      </c>
      <c r="B2111" s="5" t="s">
        <v>2111</v>
      </c>
    </row>
    <row r="2112" spans="1:2" x14ac:dyDescent="0.2">
      <c r="A2112" s="4" t="str">
        <f>HYPERLINK("http://cdn.wpsstatic.com/images/full/c5d0-572a53b205a17.jpg", "http://cdn.wpsstatic.com/images/full/c5d0-572a53b205a17.jpg")</f>
        <v>http://cdn.wpsstatic.com/images/full/c5d0-572a53b205a17.jpg</v>
      </c>
      <c r="B2112" s="5" t="s">
        <v>2112</v>
      </c>
    </row>
    <row r="2113" spans="1:2" x14ac:dyDescent="0.2">
      <c r="A2113" s="4" t="str">
        <f>HYPERLINK("http://cdn.wpsstatic.com/images/full/c5ea-6114344791786.jpeg", "http://cdn.wpsstatic.com/images/full/c5ea-6114344791786.jpeg")</f>
        <v>http://cdn.wpsstatic.com/images/full/c5ea-6114344791786.jpeg</v>
      </c>
      <c r="B2113" s="5" t="s">
        <v>2113</v>
      </c>
    </row>
    <row r="2114" spans="1:2" x14ac:dyDescent="0.2">
      <c r="A2114" s="4" t="str">
        <f>HYPERLINK("http://cdn.wpsstatic.com/images/full/c5ef-5e023a870118f.jpg", "http://cdn.wpsstatic.com/images/full/c5ef-5e023a870118f.jpg")</f>
        <v>http://cdn.wpsstatic.com/images/full/c5ef-5e023a870118f.jpg</v>
      </c>
      <c r="B2114" s="5" t="s">
        <v>2114</v>
      </c>
    </row>
    <row r="2115" spans="1:2" x14ac:dyDescent="0.2">
      <c r="A2115" s="4" t="str">
        <f>HYPERLINK("http://cdn.wpsstatic.com/images/full/c5fd-572a53356819c.jpg", "http://cdn.wpsstatic.com/images/full/c5fd-572a53356819c.jpg")</f>
        <v>http://cdn.wpsstatic.com/images/full/c5fd-572a53356819c.jpg</v>
      </c>
      <c r="B2115" s="5" t="s">
        <v>2115</v>
      </c>
    </row>
    <row r="2116" spans="1:2" x14ac:dyDescent="0.2">
      <c r="A2116" s="4" t="str">
        <f>HYPERLINK("http://cdn.wpsstatic.com/images/full/c623-572a562e6e9bb.jpg", "http://cdn.wpsstatic.com/images/full/c623-572a562e6e9bb.jpg")</f>
        <v>http://cdn.wpsstatic.com/images/full/c623-572a562e6e9bb.jpg</v>
      </c>
      <c r="B2116" s="5" t="s">
        <v>2116</v>
      </c>
    </row>
    <row r="2117" spans="1:2" x14ac:dyDescent="0.2">
      <c r="A2117" s="4" t="str">
        <f>HYPERLINK("http://cdn.wpsstatic.com/images/full/c65d-572a526609378.jpg", "http://cdn.wpsstatic.com/images/full/c65d-572a526609378.jpg")</f>
        <v>http://cdn.wpsstatic.com/images/full/c65d-572a526609378.jpg</v>
      </c>
      <c r="B2117" s="5" t="s">
        <v>2117</v>
      </c>
    </row>
    <row r="2118" spans="1:2" x14ac:dyDescent="0.2">
      <c r="A2118" s="4" t="str">
        <f>HYPERLINK("http://cdn.wpsstatic.com/images/full/c665-572a54b1d6b15.jpg", "http://cdn.wpsstatic.com/images/full/c665-572a54b1d6b15.jpg")</f>
        <v>http://cdn.wpsstatic.com/images/full/c665-572a54b1d6b15.jpg</v>
      </c>
      <c r="B2118" s="5" t="s">
        <v>2118</v>
      </c>
    </row>
    <row r="2119" spans="1:2" x14ac:dyDescent="0.2">
      <c r="A2119" s="4" t="str">
        <f>HYPERLINK("http://cdn.wpsstatic.com/images/full/c6d0-572a53fc27a3d.jpg", "http://cdn.wpsstatic.com/images/full/c6d0-572a53fc27a3d.jpg")</f>
        <v>http://cdn.wpsstatic.com/images/full/c6d0-572a53fc27a3d.jpg</v>
      </c>
      <c r="B2119" s="5" t="s">
        <v>2119</v>
      </c>
    </row>
    <row r="2120" spans="1:2" x14ac:dyDescent="0.2">
      <c r="A2120" s="4" t="str">
        <f>HYPERLINK("http://cdn.wpsstatic.com/images/full/c6d1-572a551f793b1.jpg", "http://cdn.wpsstatic.com/images/full/c6d1-572a551f793b1.jpg")</f>
        <v>http://cdn.wpsstatic.com/images/full/c6d1-572a551f793b1.jpg</v>
      </c>
      <c r="B2120" s="5" t="s">
        <v>2120</v>
      </c>
    </row>
    <row r="2121" spans="1:2" x14ac:dyDescent="0.2">
      <c r="A2121" s="4" t="str">
        <f>HYPERLINK("http://cdn.wpsstatic.com/images/full/c707-572a546f055c0.jpg", "http://cdn.wpsstatic.com/images/full/c707-572a546f055c0.jpg")</f>
        <v>http://cdn.wpsstatic.com/images/full/c707-572a546f055c0.jpg</v>
      </c>
      <c r="B2121" s="5" t="s">
        <v>2121</v>
      </c>
    </row>
    <row r="2122" spans="1:2" x14ac:dyDescent="0.2">
      <c r="A2122" s="4" t="str">
        <f>HYPERLINK("http://cdn.wpsstatic.com/images/full/c726-572a53663efbe.jpg", "http://cdn.wpsstatic.com/images/full/c726-572a53663efbe.jpg")</f>
        <v>http://cdn.wpsstatic.com/images/full/c726-572a53663efbe.jpg</v>
      </c>
      <c r="B2122" s="5" t="s">
        <v>2122</v>
      </c>
    </row>
    <row r="2123" spans="1:2" x14ac:dyDescent="0.2">
      <c r="A2123" s="4" t="str">
        <f>HYPERLINK("http://cdn.wpsstatic.com/images/full/c744-572a53a5414d4.jpg", "http://cdn.wpsstatic.com/images/full/c744-572a53a5414d4.jpg")</f>
        <v>http://cdn.wpsstatic.com/images/full/c744-572a53a5414d4.jpg</v>
      </c>
      <c r="B2123" s="5" t="s">
        <v>2123</v>
      </c>
    </row>
    <row r="2124" spans="1:2" x14ac:dyDescent="0.2">
      <c r="A2124" s="4" t="str">
        <f>HYPERLINK("http://cdn.wpsstatic.com/images/full/c74c-572a536b62b12.jpg", "http://cdn.wpsstatic.com/images/full/c74c-572a536b62b12.jpg")</f>
        <v>http://cdn.wpsstatic.com/images/full/c74c-572a536b62b12.jpg</v>
      </c>
      <c r="B2124" s="5" t="s">
        <v>2124</v>
      </c>
    </row>
    <row r="2125" spans="1:2" x14ac:dyDescent="0.2">
      <c r="A2125" s="4" t="str">
        <f>HYPERLINK("http://cdn.wpsstatic.com/images/full/c761-5d028f39ba7a7.jpg", "http://cdn.wpsstatic.com/images/full/c761-5d028f39ba7a7.jpg")</f>
        <v>http://cdn.wpsstatic.com/images/full/c761-5d028f39ba7a7.jpg</v>
      </c>
      <c r="B2125" s="5" t="s">
        <v>2125</v>
      </c>
    </row>
    <row r="2126" spans="1:2" x14ac:dyDescent="0.2">
      <c r="A2126" s="4" t="str">
        <f>HYPERLINK("http://cdn.wpsstatic.com/images/full/c767-572a52fc98ae3.jpg", "http://cdn.wpsstatic.com/images/full/c767-572a52fc98ae3.jpg")</f>
        <v>http://cdn.wpsstatic.com/images/full/c767-572a52fc98ae3.jpg</v>
      </c>
      <c r="B2126" s="5" t="s">
        <v>2126</v>
      </c>
    </row>
    <row r="2127" spans="1:2" x14ac:dyDescent="0.2">
      <c r="A2127" s="4" t="str">
        <f>HYPERLINK("http://cdn.wpsstatic.com/images/full/c77d-572a53966d076.jpg", "http://cdn.wpsstatic.com/images/full/c77d-572a53966d076.jpg")</f>
        <v>http://cdn.wpsstatic.com/images/full/c77d-572a53966d076.jpg</v>
      </c>
      <c r="B2127" s="5" t="s">
        <v>2127</v>
      </c>
    </row>
    <row r="2128" spans="1:2" x14ac:dyDescent="0.2">
      <c r="A2128" s="4" t="str">
        <f>HYPERLINK("http://cdn.wpsstatic.com/images/full/c7fb-572a538f97cf3.jpg", "http://cdn.wpsstatic.com/images/full/c7fb-572a538f97cf3.jpg")</f>
        <v>http://cdn.wpsstatic.com/images/full/c7fb-572a538f97cf3.jpg</v>
      </c>
      <c r="B2128" s="5" t="s">
        <v>2128</v>
      </c>
    </row>
    <row r="2129" spans="1:2" x14ac:dyDescent="0.2">
      <c r="A2129" s="4" t="str">
        <f>HYPERLINK("http://cdn.wpsstatic.com/images/full/c816-5d168d313e96a.jpg", "http://cdn.wpsstatic.com/images/full/c816-5d168d313e96a.jpg")</f>
        <v>http://cdn.wpsstatic.com/images/full/c816-5d168d313e96a.jpg</v>
      </c>
      <c r="B2129" s="5" t="s">
        <v>2129</v>
      </c>
    </row>
    <row r="2130" spans="1:2" x14ac:dyDescent="0.2">
      <c r="A2130" s="4" t="str">
        <f>HYPERLINK("http://cdn.wpsstatic.com/images/full/c822-572a54fc1898e.jpg", "http://cdn.wpsstatic.com/images/full/c822-572a54fc1898e.jpg")</f>
        <v>http://cdn.wpsstatic.com/images/full/c822-572a54fc1898e.jpg</v>
      </c>
      <c r="B2130" s="5" t="s">
        <v>2130</v>
      </c>
    </row>
    <row r="2131" spans="1:2" x14ac:dyDescent="0.2">
      <c r="A2131" s="4" t="str">
        <f>HYPERLINK("http://cdn.wpsstatic.com/images/full/c837-60a6aaea6913c.png", "http://cdn.wpsstatic.com/images/full/c837-60a6aaea6913c.png")</f>
        <v>http://cdn.wpsstatic.com/images/full/c837-60a6aaea6913c.png</v>
      </c>
      <c r="B2131" s="5" t="s">
        <v>2131</v>
      </c>
    </row>
    <row r="2132" spans="1:2" x14ac:dyDescent="0.2">
      <c r="A2132" s="4" t="str">
        <f>HYPERLINK("http://cdn.wpsstatic.com/images/full/c853-572a548972f0a.jpg", "http://cdn.wpsstatic.com/images/full/c853-572a548972f0a.jpg")</f>
        <v>http://cdn.wpsstatic.com/images/full/c853-572a548972f0a.jpg</v>
      </c>
      <c r="B2132" s="5" t="s">
        <v>2132</v>
      </c>
    </row>
    <row r="2133" spans="1:2" x14ac:dyDescent="0.2">
      <c r="A2133" s="4" t="str">
        <f>HYPERLINK("http://cdn.wpsstatic.com/images/full/c862-572a74fe96a25.jpg", "http://cdn.wpsstatic.com/images/full/c862-572a74fe96a25.jpg")</f>
        <v>http://cdn.wpsstatic.com/images/full/c862-572a74fe96a25.jpg</v>
      </c>
      <c r="B2133" s="5" t="s">
        <v>2133</v>
      </c>
    </row>
    <row r="2134" spans="1:2" x14ac:dyDescent="0.2">
      <c r="A2134" s="4" t="str">
        <f>HYPERLINK("http://cdn.wpsstatic.com/images/full/c883-572a52b61c769.jpg", "http://cdn.wpsstatic.com/images/full/c883-572a52b61c769.jpg")</f>
        <v>http://cdn.wpsstatic.com/images/full/c883-572a52b61c769.jpg</v>
      </c>
      <c r="B2134" s="5" t="s">
        <v>2134</v>
      </c>
    </row>
    <row r="2135" spans="1:2" x14ac:dyDescent="0.2">
      <c r="A2135" s="4" t="str">
        <f>HYPERLINK("http://cdn.wpsstatic.com/images/full/c8ad-572a5267e2f61.jpg", "http://cdn.wpsstatic.com/images/full/c8ad-572a5267e2f61.jpg")</f>
        <v>http://cdn.wpsstatic.com/images/full/c8ad-572a5267e2f61.jpg</v>
      </c>
      <c r="B2135" s="5" t="s">
        <v>2135</v>
      </c>
    </row>
    <row r="2136" spans="1:2" x14ac:dyDescent="0.2">
      <c r="A2136" s="4" t="str">
        <f>HYPERLINK("http://cdn.wpsstatic.com/images/full/c8b6-572a5287155ef.jpg", "http://cdn.wpsstatic.com/images/full/c8b6-572a5287155ef.jpg")</f>
        <v>http://cdn.wpsstatic.com/images/full/c8b6-572a5287155ef.jpg</v>
      </c>
      <c r="B2136" s="5" t="s">
        <v>2136</v>
      </c>
    </row>
    <row r="2137" spans="1:2" x14ac:dyDescent="0.2">
      <c r="A2137" s="4" t="str">
        <f>HYPERLINK("http://cdn.wpsstatic.com/images/full/c8ce-572a54cbba832.jpg", "http://cdn.wpsstatic.com/images/full/c8ce-572a54cbba832.jpg")</f>
        <v>http://cdn.wpsstatic.com/images/full/c8ce-572a54cbba832.jpg</v>
      </c>
      <c r="B2137" s="5" t="s">
        <v>2137</v>
      </c>
    </row>
    <row r="2138" spans="1:2" x14ac:dyDescent="0.2">
      <c r="A2138" s="4" t="str">
        <f>HYPERLINK("http://cdn.wpsstatic.com/images/full/c8fb-572a526374859.jpg", "http://cdn.wpsstatic.com/images/full/c8fb-572a526374859.jpg")</f>
        <v>http://cdn.wpsstatic.com/images/full/c8fb-572a526374859.jpg</v>
      </c>
      <c r="B2138" s="5" t="s">
        <v>2138</v>
      </c>
    </row>
    <row r="2139" spans="1:2" x14ac:dyDescent="0.2">
      <c r="A2139" s="4" t="str">
        <f>HYPERLINK("http://cdn.wpsstatic.com/images/full/c92d-572a52c11732c.jpg", "http://cdn.wpsstatic.com/images/full/c92d-572a52c11732c.jpg")</f>
        <v>http://cdn.wpsstatic.com/images/full/c92d-572a52c11732c.jpg</v>
      </c>
      <c r="B2139" s="5" t="s">
        <v>2139</v>
      </c>
    </row>
    <row r="2140" spans="1:2" x14ac:dyDescent="0.2">
      <c r="A2140" s="4" t="str">
        <f>HYPERLINK("http://cdn.wpsstatic.com/images/full/c972-5885c22a76ee6.jpg", "http://cdn.wpsstatic.com/images/full/c972-5885c22a76ee6.jpg")</f>
        <v>http://cdn.wpsstatic.com/images/full/c972-5885c22a76ee6.jpg</v>
      </c>
      <c r="B2140" s="5" t="s">
        <v>2140</v>
      </c>
    </row>
    <row r="2141" spans="1:2" x14ac:dyDescent="0.2">
      <c r="A2141" s="4" t="str">
        <f>HYPERLINK("http://cdn.wpsstatic.com/images/full/c984-572a53a20e3f9.jpg", "http://cdn.wpsstatic.com/images/full/c984-572a53a20e3f9.jpg")</f>
        <v>http://cdn.wpsstatic.com/images/full/c984-572a53a20e3f9.jpg</v>
      </c>
      <c r="B2141" s="5" t="s">
        <v>2141</v>
      </c>
    </row>
    <row r="2142" spans="1:2" x14ac:dyDescent="0.2">
      <c r="A2142" s="4" t="str">
        <f>HYPERLINK("http://cdn.wpsstatic.com/images/full/c996-572a54ec89938.jpg", "http://cdn.wpsstatic.com/images/full/c996-572a54ec89938.jpg")</f>
        <v>http://cdn.wpsstatic.com/images/full/c996-572a54ec89938.jpg</v>
      </c>
      <c r="B2142" s="5" t="s">
        <v>2142</v>
      </c>
    </row>
    <row r="2143" spans="1:2" x14ac:dyDescent="0.2">
      <c r="A2143" s="4" t="str">
        <f>HYPERLINK("http://cdn.wpsstatic.com/images/full/c9a8-572a530754b14.jpg", "http://cdn.wpsstatic.com/images/full/c9a8-572a530754b14.jpg")</f>
        <v>http://cdn.wpsstatic.com/images/full/c9a8-572a530754b14.jpg</v>
      </c>
      <c r="B2143" s="5" t="s">
        <v>2143</v>
      </c>
    </row>
    <row r="2144" spans="1:2" x14ac:dyDescent="0.2">
      <c r="A2144" s="4" t="str">
        <f>HYPERLINK("http://cdn.wpsstatic.com/images/full/c9cc-572a534833dcd.jpg", "http://cdn.wpsstatic.com/images/full/c9cc-572a534833dcd.jpg")</f>
        <v>http://cdn.wpsstatic.com/images/full/c9cc-572a534833dcd.jpg</v>
      </c>
      <c r="B2144" s="5" t="s">
        <v>2144</v>
      </c>
    </row>
    <row r="2145" spans="1:2" x14ac:dyDescent="0.2">
      <c r="A2145" s="4" t="str">
        <f>HYPERLINK("http://cdn.wpsstatic.com/images/full/c9cc-5d028f4d13006.jpg", "http://cdn.wpsstatic.com/images/full/c9cc-5d028f4d13006.jpg")</f>
        <v>http://cdn.wpsstatic.com/images/full/c9cc-5d028f4d13006.jpg</v>
      </c>
      <c r="B2145" s="5" t="s">
        <v>2145</v>
      </c>
    </row>
    <row r="2146" spans="1:2" x14ac:dyDescent="0.2">
      <c r="A2146" s="4" t="str">
        <f>HYPERLINK("http://cdn.wpsstatic.com/images/full/c9d8-572a562a55ef3.jpg", "http://cdn.wpsstatic.com/images/full/c9d8-572a562a55ef3.jpg")</f>
        <v>http://cdn.wpsstatic.com/images/full/c9d8-572a562a55ef3.jpg</v>
      </c>
      <c r="B2146" s="5" t="s">
        <v>2146</v>
      </c>
    </row>
    <row r="2147" spans="1:2" x14ac:dyDescent="0.2">
      <c r="A2147" s="4" t="str">
        <f>HYPERLINK("http://cdn.wpsstatic.com/images/full/ca06-5885c1de1874b.jpg", "http://cdn.wpsstatic.com/images/full/ca06-5885c1de1874b.jpg")</f>
        <v>http://cdn.wpsstatic.com/images/full/ca06-5885c1de1874b.jpg</v>
      </c>
      <c r="B2147" s="5" t="s">
        <v>2147</v>
      </c>
    </row>
    <row r="2148" spans="1:2" x14ac:dyDescent="0.2">
      <c r="A2148" s="4" t="str">
        <f>HYPERLINK("http://cdn.wpsstatic.com/images/full/ca4e-572a55941fd5e.jpg", "http://cdn.wpsstatic.com/images/full/ca4e-572a55941fd5e.jpg")</f>
        <v>http://cdn.wpsstatic.com/images/full/ca4e-572a55941fd5e.jpg</v>
      </c>
      <c r="B2148" s="5" t="s">
        <v>2148</v>
      </c>
    </row>
    <row r="2149" spans="1:2" x14ac:dyDescent="0.2">
      <c r="A2149" s="4" t="str">
        <f>HYPERLINK("http://cdn.wpsstatic.com/images/full/ca69-572a5362c27cf.jpg", "http://cdn.wpsstatic.com/images/full/ca69-572a5362c27cf.jpg")</f>
        <v>http://cdn.wpsstatic.com/images/full/ca69-572a5362c27cf.jpg</v>
      </c>
      <c r="B2149" s="5" t="s">
        <v>2149</v>
      </c>
    </row>
    <row r="2150" spans="1:2" x14ac:dyDescent="0.2">
      <c r="A2150" s="4" t="str">
        <f>HYPERLINK("http://cdn.wpsstatic.com/images/full/ca6a-5e821095bf306.jpg", "http://cdn.wpsstatic.com/images/full/ca6a-5e821095bf306.jpg")</f>
        <v>http://cdn.wpsstatic.com/images/full/ca6a-5e821095bf306.jpg</v>
      </c>
      <c r="B2150" s="5" t="s">
        <v>2150</v>
      </c>
    </row>
    <row r="2151" spans="1:2" x14ac:dyDescent="0.2">
      <c r="A2151" s="4" t="str">
        <f>HYPERLINK("http://cdn.wpsstatic.com/images/full/ca94-60a6a93f05359.png", "http://cdn.wpsstatic.com/images/full/ca94-60a6a93f05359.png")</f>
        <v>http://cdn.wpsstatic.com/images/full/ca94-60a6a93f05359.png</v>
      </c>
      <c r="B2151" s="5" t="s">
        <v>2151</v>
      </c>
    </row>
    <row r="2152" spans="1:2" x14ac:dyDescent="0.2">
      <c r="A2152" s="4" t="str">
        <f>HYPERLINK("http://cdn.wpsstatic.com/images/full/ca9d-572a52c38e139.jpg", "http://cdn.wpsstatic.com/images/full/ca9d-572a52c38e139.jpg")</f>
        <v>http://cdn.wpsstatic.com/images/full/ca9d-572a52c38e139.jpg</v>
      </c>
      <c r="B2152" s="5" t="s">
        <v>2152</v>
      </c>
    </row>
    <row r="2153" spans="1:2" x14ac:dyDescent="0.2">
      <c r="A2153" s="4" t="str">
        <f>HYPERLINK("http://cdn.wpsstatic.com/images/full/cad0-572a53e3e9af3.jpg", "http://cdn.wpsstatic.com/images/full/cad0-572a53e3e9af3.jpg")</f>
        <v>http://cdn.wpsstatic.com/images/full/cad0-572a53e3e9af3.jpg</v>
      </c>
      <c r="B2153" s="5" t="s">
        <v>2153</v>
      </c>
    </row>
    <row r="2154" spans="1:2" x14ac:dyDescent="0.2">
      <c r="A2154" s="4" t="str">
        <f>HYPERLINK("http://cdn.wpsstatic.com/images/full/cae8-572a54013a548.jpg", "http://cdn.wpsstatic.com/images/full/cae8-572a54013a548.jpg")</f>
        <v>http://cdn.wpsstatic.com/images/full/cae8-572a54013a548.jpg</v>
      </c>
      <c r="B2154" s="5" t="s">
        <v>2154</v>
      </c>
    </row>
    <row r="2155" spans="1:2" x14ac:dyDescent="0.2">
      <c r="A2155" s="4" t="str">
        <f>HYPERLINK("http://cdn.wpsstatic.com/images/full/cafe-572a5483dcaa0.jpg", "http://cdn.wpsstatic.com/images/full/cafe-572a5483dcaa0.jpg")</f>
        <v>http://cdn.wpsstatic.com/images/full/cafe-572a5483dcaa0.jpg</v>
      </c>
      <c r="B2155" s="5" t="s">
        <v>2155</v>
      </c>
    </row>
    <row r="2156" spans="1:2" x14ac:dyDescent="0.2">
      <c r="A2156" s="4" t="str">
        <f>HYPERLINK("http://cdn.wpsstatic.com/images/full/cb1c-5d7900c27f006.jpg", "http://cdn.wpsstatic.com/images/full/cb1c-5d7900c27f006.jpg")</f>
        <v>http://cdn.wpsstatic.com/images/full/cb1c-5d7900c27f006.jpg</v>
      </c>
      <c r="B2156" s="5" t="s">
        <v>2156</v>
      </c>
    </row>
    <row r="2157" spans="1:2" x14ac:dyDescent="0.2">
      <c r="A2157" s="4" t="str">
        <f>HYPERLINK("http://cdn.wpsstatic.com/images/full/cb39-5f57910886422.jpg", "http://cdn.wpsstatic.com/images/full/cb39-5f57910886422.jpg")</f>
        <v>http://cdn.wpsstatic.com/images/full/cb39-5f57910886422.jpg</v>
      </c>
      <c r="B2157" s="5" t="s">
        <v>2157</v>
      </c>
    </row>
    <row r="2158" spans="1:2" x14ac:dyDescent="0.2">
      <c r="A2158" s="4" t="str">
        <f>HYPERLINK("http://cdn.wpsstatic.com/images/full/cb69-5885c20416c5b.jpg", "http://cdn.wpsstatic.com/images/full/cb69-5885c20416c5b.jpg")</f>
        <v>http://cdn.wpsstatic.com/images/full/cb69-5885c20416c5b.jpg</v>
      </c>
      <c r="B2158" s="5" t="s">
        <v>2158</v>
      </c>
    </row>
    <row r="2159" spans="1:2" x14ac:dyDescent="0.2">
      <c r="A2159" s="4" t="str">
        <f>HYPERLINK("http://cdn.wpsstatic.com/images/full/cb6b-5d029e6241ab3.jpg", "http://cdn.wpsstatic.com/images/full/cb6b-5d029e6241ab3.jpg")</f>
        <v>http://cdn.wpsstatic.com/images/full/cb6b-5d029e6241ab3.jpg</v>
      </c>
      <c r="B2159" s="5" t="s">
        <v>2159</v>
      </c>
    </row>
    <row r="2160" spans="1:2" x14ac:dyDescent="0.2">
      <c r="A2160" s="4" t="str">
        <f>HYPERLINK("http://cdn.wpsstatic.com/images/full/cb76-5885c29de3308.jpg", "http://cdn.wpsstatic.com/images/full/cb76-5885c29de3308.jpg")</f>
        <v>http://cdn.wpsstatic.com/images/full/cb76-5885c29de3308.jpg</v>
      </c>
      <c r="B2160" s="5" t="s">
        <v>2160</v>
      </c>
    </row>
    <row r="2161" spans="1:2" x14ac:dyDescent="0.2">
      <c r="A2161" s="4" t="str">
        <f>HYPERLINK("http://cdn.wpsstatic.com/images/full/cbc1-572a526ca4ae6.jpg", "http://cdn.wpsstatic.com/images/full/cbc1-572a526ca4ae6.jpg")</f>
        <v>http://cdn.wpsstatic.com/images/full/cbc1-572a526ca4ae6.jpg</v>
      </c>
      <c r="B2161" s="5" t="s">
        <v>2161</v>
      </c>
    </row>
    <row r="2162" spans="1:2" x14ac:dyDescent="0.2">
      <c r="A2162" s="4" t="str">
        <f>HYPERLINK("http://cdn.wpsstatic.com/images/full/cbc3-5f579c9487084.jpg", "http://cdn.wpsstatic.com/images/full/cbc3-5f579c9487084.jpg")</f>
        <v>http://cdn.wpsstatic.com/images/full/cbc3-5f579c9487084.jpg</v>
      </c>
      <c r="B2162" s="5" t="s">
        <v>2162</v>
      </c>
    </row>
    <row r="2163" spans="1:2" x14ac:dyDescent="0.2">
      <c r="A2163" s="4" t="str">
        <f>HYPERLINK("http://cdn.wpsstatic.com/images/full/cc14-572a56385151a.jpg", "http://cdn.wpsstatic.com/images/full/cc14-572a56385151a.jpg")</f>
        <v>http://cdn.wpsstatic.com/images/full/cc14-572a56385151a.jpg</v>
      </c>
      <c r="B2163" s="5" t="s">
        <v>2163</v>
      </c>
    </row>
    <row r="2164" spans="1:2" x14ac:dyDescent="0.2">
      <c r="A2164" s="4" t="str">
        <f>HYPERLINK("http://cdn.wpsstatic.com/images/full/cc28-5d16849b785d7.jpg", "http://cdn.wpsstatic.com/images/full/cc28-5d16849b785d7.jpg")</f>
        <v>http://cdn.wpsstatic.com/images/full/cc28-5d16849b785d7.jpg</v>
      </c>
      <c r="B2164" s="5" t="s">
        <v>2164</v>
      </c>
    </row>
    <row r="2165" spans="1:2" x14ac:dyDescent="0.2">
      <c r="A2165" s="4" t="str">
        <f>HYPERLINK("http://cdn.wpsstatic.com/images/full/cc2b-5d79012d5fe38.jpg", "http://cdn.wpsstatic.com/images/full/cc2b-5d79012d5fe38.jpg")</f>
        <v>http://cdn.wpsstatic.com/images/full/cc2b-5d79012d5fe38.jpg</v>
      </c>
      <c r="B2165" s="5" t="s">
        <v>2165</v>
      </c>
    </row>
    <row r="2166" spans="1:2" x14ac:dyDescent="0.2">
      <c r="A2166" s="4" t="str">
        <f>HYPERLINK("http://cdn.wpsstatic.com/images/full/cc53-5d7902d484b7e.jpg", "http://cdn.wpsstatic.com/images/full/cc53-5d7902d484b7e.jpg")</f>
        <v>http://cdn.wpsstatic.com/images/full/cc53-5d7902d484b7e.jpg</v>
      </c>
      <c r="B2166" s="5" t="s">
        <v>2166</v>
      </c>
    </row>
    <row r="2167" spans="1:2" x14ac:dyDescent="0.2">
      <c r="A2167" s="4" t="str">
        <f>HYPERLINK("http://cdn.wpsstatic.com/images/full/cc5a-572a75013d2f2.jpg", "http://cdn.wpsstatic.com/images/full/cc5a-572a75013d2f2.jpg")</f>
        <v>http://cdn.wpsstatic.com/images/full/cc5a-572a75013d2f2.jpg</v>
      </c>
      <c r="B2167" s="5" t="s">
        <v>2167</v>
      </c>
    </row>
    <row r="2168" spans="1:2" x14ac:dyDescent="0.2">
      <c r="A2168" s="4" t="str">
        <f>HYPERLINK("http://cdn.wpsstatic.com/images/full/cc6b-572a535dcd240.jpg", "http://cdn.wpsstatic.com/images/full/cc6b-572a535dcd240.jpg")</f>
        <v>http://cdn.wpsstatic.com/images/full/cc6b-572a535dcd240.jpg</v>
      </c>
      <c r="B2168" s="5" t="s">
        <v>2168</v>
      </c>
    </row>
    <row r="2169" spans="1:2" x14ac:dyDescent="0.2">
      <c r="A2169" s="4" t="str">
        <f>HYPERLINK("http://cdn.wpsstatic.com/images/full/cc78-572a55030c149.jpg", "http://cdn.wpsstatic.com/images/full/cc78-572a55030c149.jpg")</f>
        <v>http://cdn.wpsstatic.com/images/full/cc78-572a55030c149.jpg</v>
      </c>
      <c r="B2169" s="5" t="s">
        <v>2169</v>
      </c>
    </row>
    <row r="2170" spans="1:2" x14ac:dyDescent="0.2">
      <c r="A2170" s="4" t="str">
        <f>HYPERLINK("http://cdn.wpsstatic.com/images/full/cc84-5d029fb302f70.jpg", "http://cdn.wpsstatic.com/images/full/cc84-5d029fb302f70.jpg")</f>
        <v>http://cdn.wpsstatic.com/images/full/cc84-5d029fb302f70.jpg</v>
      </c>
      <c r="B2170" s="5" t="s">
        <v>2170</v>
      </c>
    </row>
    <row r="2171" spans="1:2" x14ac:dyDescent="0.2">
      <c r="A2171" s="4" t="str">
        <f>HYPERLINK("http://cdn.wpsstatic.com/images/full/cc91-572a53532f548.jpg", "http://cdn.wpsstatic.com/images/full/cc91-572a53532f548.jpg")</f>
        <v>http://cdn.wpsstatic.com/images/full/cc91-572a53532f548.jpg</v>
      </c>
      <c r="B2171" s="5" t="s">
        <v>2171</v>
      </c>
    </row>
    <row r="2172" spans="1:2" x14ac:dyDescent="0.2">
      <c r="A2172" s="4" t="str">
        <f>HYPERLINK("http://cdn.wpsstatic.com/images/full/cc96-5ecd3c3b444e5.jpg", "http://cdn.wpsstatic.com/images/full/cc96-5ecd3c3b444e5.jpg")</f>
        <v>http://cdn.wpsstatic.com/images/full/cc96-5ecd3c3b444e5.jpg</v>
      </c>
      <c r="B2172" s="5" t="s">
        <v>2172</v>
      </c>
    </row>
    <row r="2173" spans="1:2" x14ac:dyDescent="0.2">
      <c r="A2173" s="4" t="str">
        <f>HYPERLINK("http://cdn.wpsstatic.com/images/full/cc97-572a5251b648c.jpg", "http://cdn.wpsstatic.com/images/full/cc97-572a5251b648c.jpg")</f>
        <v>http://cdn.wpsstatic.com/images/full/cc97-572a5251b648c.jpg</v>
      </c>
      <c r="B2173" s="5" t="s">
        <v>2173</v>
      </c>
    </row>
    <row r="2174" spans="1:2" x14ac:dyDescent="0.2">
      <c r="A2174" s="4" t="str">
        <f>HYPERLINK("http://cdn.wpsstatic.com/images/full/ccb1-572a544a35383.jpg", "http://cdn.wpsstatic.com/images/full/ccb1-572a544a35383.jpg")</f>
        <v>http://cdn.wpsstatic.com/images/full/ccb1-572a544a35383.jpg</v>
      </c>
      <c r="B2174" s="5" t="s">
        <v>2174</v>
      </c>
    </row>
    <row r="2175" spans="1:2" x14ac:dyDescent="0.2">
      <c r="A2175" s="4" t="str">
        <f>HYPERLINK("http://cdn.wpsstatic.com/images/full/ccb7-572a549b14a0b.jpg", "http://cdn.wpsstatic.com/images/full/ccb7-572a549b14a0b.jpg")</f>
        <v>http://cdn.wpsstatic.com/images/full/ccb7-572a549b14a0b.jpg</v>
      </c>
      <c r="B2175" s="5" t="s">
        <v>2175</v>
      </c>
    </row>
    <row r="2176" spans="1:2" x14ac:dyDescent="0.2">
      <c r="A2176" s="4" t="str">
        <f>HYPERLINK("http://cdn.wpsstatic.com/images/full/ccd0-5d0293955fd7f.jpg", "http://cdn.wpsstatic.com/images/full/ccd0-5d0293955fd7f.jpg")</f>
        <v>http://cdn.wpsstatic.com/images/full/ccd0-5d0293955fd7f.jpg</v>
      </c>
      <c r="B2176" s="5" t="s">
        <v>2176</v>
      </c>
    </row>
    <row r="2177" spans="1:2" x14ac:dyDescent="0.2">
      <c r="A2177" s="4" t="str">
        <f>HYPERLINK("http://cdn.wpsstatic.com/images/full/ccf3-572a524d811ad.jpg", "http://cdn.wpsstatic.com/images/full/ccf3-572a524d811ad.jpg")</f>
        <v>http://cdn.wpsstatic.com/images/full/ccf3-572a524d811ad.jpg</v>
      </c>
      <c r="B2177" s="5" t="s">
        <v>2177</v>
      </c>
    </row>
    <row r="2178" spans="1:2" x14ac:dyDescent="0.2">
      <c r="A2178" s="4" t="str">
        <f>HYPERLINK("http://cdn.wpsstatic.com/images/full/cd0e-572a52803aae0.jpg", "http://cdn.wpsstatic.com/images/full/cd0e-572a52803aae0.jpg")</f>
        <v>http://cdn.wpsstatic.com/images/full/cd0e-572a52803aae0.jpg</v>
      </c>
      <c r="B2178" s="5" t="s">
        <v>2178</v>
      </c>
    </row>
    <row r="2179" spans="1:2" x14ac:dyDescent="0.2">
      <c r="A2179" s="4" t="str">
        <f>HYPERLINK("http://cdn.wpsstatic.com/images/full/cd65-572a562d7cd2a.jpg", "http://cdn.wpsstatic.com/images/full/cd65-572a562d7cd2a.jpg")</f>
        <v>http://cdn.wpsstatic.com/images/full/cd65-572a562d7cd2a.jpg</v>
      </c>
      <c r="B2179" s="5" t="s">
        <v>2179</v>
      </c>
    </row>
    <row r="2180" spans="1:2" x14ac:dyDescent="0.2">
      <c r="A2180" s="4" t="str">
        <f>HYPERLINK("http://cdn.wpsstatic.com/images/full/cd69-572a54363fc63.jpg", "http://cdn.wpsstatic.com/images/full/cd69-572a54363fc63.jpg")</f>
        <v>http://cdn.wpsstatic.com/images/full/cd69-572a54363fc63.jpg</v>
      </c>
      <c r="B2180" s="5" t="s">
        <v>2180</v>
      </c>
    </row>
    <row r="2181" spans="1:2" x14ac:dyDescent="0.2">
      <c r="A2181" s="4" t="str">
        <f>HYPERLINK("http://cdn.wpsstatic.com/images/full/cd7e-5d1684b4471df.jpg", "http://cdn.wpsstatic.com/images/full/cd7e-5d1684b4471df.jpg")</f>
        <v>http://cdn.wpsstatic.com/images/full/cd7e-5d1684b4471df.jpg</v>
      </c>
      <c r="B2181" s="5" t="s">
        <v>2181</v>
      </c>
    </row>
    <row r="2182" spans="1:2" x14ac:dyDescent="0.2">
      <c r="A2182" s="4" t="str">
        <f>HYPERLINK("http://cdn.wpsstatic.com/images/full/cd9a-572a544b43959.jpg", "http://cdn.wpsstatic.com/images/full/cd9a-572a544b43959.jpg")</f>
        <v>http://cdn.wpsstatic.com/images/full/cd9a-572a544b43959.jpg</v>
      </c>
      <c r="B2182" s="5" t="s">
        <v>2182</v>
      </c>
    </row>
    <row r="2183" spans="1:2" x14ac:dyDescent="0.2">
      <c r="A2183" s="4" t="str">
        <f>HYPERLINK("http://cdn.wpsstatic.com/images/full/cdab-572a5258a332e.jpg", "http://cdn.wpsstatic.com/images/full/cdab-572a5258a332e.jpg")</f>
        <v>http://cdn.wpsstatic.com/images/full/cdab-572a5258a332e.jpg</v>
      </c>
      <c r="B2183" s="5" t="s">
        <v>2183</v>
      </c>
    </row>
    <row r="2184" spans="1:2" x14ac:dyDescent="0.2">
      <c r="A2184" s="4" t="str">
        <f>HYPERLINK("http://cdn.wpsstatic.com/images/full/cdc3-572a53af0d985.jpg", "http://cdn.wpsstatic.com/images/full/cdc3-572a53af0d985.jpg")</f>
        <v>http://cdn.wpsstatic.com/images/full/cdc3-572a53af0d985.jpg</v>
      </c>
      <c r="B2184" s="5" t="s">
        <v>2184</v>
      </c>
    </row>
    <row r="2185" spans="1:2" x14ac:dyDescent="0.2">
      <c r="A2185" s="4" t="str">
        <f>HYPERLINK("http://cdn.wpsstatic.com/images/full/cdfd-572a5323b1631.jpg", "http://cdn.wpsstatic.com/images/full/cdfd-572a5323b1631.jpg")</f>
        <v>http://cdn.wpsstatic.com/images/full/cdfd-572a5323b1631.jpg</v>
      </c>
      <c r="B2185" s="5" t="s">
        <v>2185</v>
      </c>
    </row>
    <row r="2186" spans="1:2" x14ac:dyDescent="0.2">
      <c r="A2186" s="4" t="str">
        <f>HYPERLINK("http://cdn.wpsstatic.com/images/full/ce04-572a54474ca3d.jpg", "http://cdn.wpsstatic.com/images/full/ce04-572a54474ca3d.jpg")</f>
        <v>http://cdn.wpsstatic.com/images/full/ce04-572a54474ca3d.jpg</v>
      </c>
      <c r="B2186" s="5" t="s">
        <v>2186</v>
      </c>
    </row>
    <row r="2187" spans="1:2" x14ac:dyDescent="0.2">
      <c r="A2187" s="4" t="str">
        <f>HYPERLINK("http://cdn.wpsstatic.com/images/full/ce1d-572a551fe46a5.jpg", "http://cdn.wpsstatic.com/images/full/ce1d-572a551fe46a5.jpg")</f>
        <v>http://cdn.wpsstatic.com/images/full/ce1d-572a551fe46a5.jpg</v>
      </c>
      <c r="B2187" s="5" t="s">
        <v>2187</v>
      </c>
    </row>
    <row r="2188" spans="1:2" x14ac:dyDescent="0.2">
      <c r="A2188" s="4" t="str">
        <f>HYPERLINK("http://cdn.wpsstatic.com/images/full/ce8f-572a53bd61a00.jpg", "http://cdn.wpsstatic.com/images/full/ce8f-572a53bd61a00.jpg")</f>
        <v>http://cdn.wpsstatic.com/images/full/ce8f-572a53bd61a00.jpg</v>
      </c>
      <c r="B2188" s="5" t="s">
        <v>2188</v>
      </c>
    </row>
    <row r="2189" spans="1:2" x14ac:dyDescent="0.2">
      <c r="A2189" s="4" t="str">
        <f>HYPERLINK("http://cdn.wpsstatic.com/images/full/ce97-572a5325b8ebc.jpg", "http://cdn.wpsstatic.com/images/full/ce97-572a5325b8ebc.jpg")</f>
        <v>http://cdn.wpsstatic.com/images/full/ce97-572a5325b8ebc.jpg</v>
      </c>
      <c r="B2189" s="5" t="s">
        <v>2189</v>
      </c>
    </row>
    <row r="2190" spans="1:2" x14ac:dyDescent="0.2">
      <c r="A2190" s="4" t="str">
        <f>HYPERLINK("http://cdn.wpsstatic.com/images/full/cea4-572a541431ce1.jpg", "http://cdn.wpsstatic.com/images/full/cea4-572a541431ce1.jpg")</f>
        <v>http://cdn.wpsstatic.com/images/full/cea4-572a541431ce1.jpg</v>
      </c>
      <c r="B2190" s="5" t="s">
        <v>2190</v>
      </c>
    </row>
    <row r="2191" spans="1:2" x14ac:dyDescent="0.2">
      <c r="A2191" s="4" t="str">
        <f>HYPERLINK("http://cdn.wpsstatic.com/images/full/cea8-572a5288cfe1a.jpg", "http://cdn.wpsstatic.com/images/full/cea8-572a5288cfe1a.jpg")</f>
        <v>http://cdn.wpsstatic.com/images/full/cea8-572a5288cfe1a.jpg</v>
      </c>
      <c r="B2191" s="5" t="s">
        <v>2191</v>
      </c>
    </row>
    <row r="2192" spans="1:2" x14ac:dyDescent="0.2">
      <c r="A2192" s="4" t="str">
        <f>HYPERLINK("http://cdn.wpsstatic.com/images/full/ceb5-572a529ba4535.jpg", "http://cdn.wpsstatic.com/images/full/ceb5-572a529ba4535.jpg")</f>
        <v>http://cdn.wpsstatic.com/images/full/ceb5-572a529ba4535.jpg</v>
      </c>
      <c r="B2192" s="5" t="s">
        <v>2192</v>
      </c>
    </row>
    <row r="2193" spans="1:2" x14ac:dyDescent="0.2">
      <c r="A2193" s="4" t="str">
        <f>HYPERLINK("http://cdn.wpsstatic.com/images/full/cec2-5d028e08c0bfb.jpg", "http://cdn.wpsstatic.com/images/full/cec2-5d028e08c0bfb.jpg")</f>
        <v>http://cdn.wpsstatic.com/images/full/cec2-5d028e08c0bfb.jpg</v>
      </c>
      <c r="B2193" s="5" t="s">
        <v>2193</v>
      </c>
    </row>
    <row r="2194" spans="1:2" x14ac:dyDescent="0.2">
      <c r="A2194" s="4" t="str">
        <f>HYPERLINK("http://cdn.wpsstatic.com/images/full/cedf-63643b28e97e8.png", "http://cdn.wpsstatic.com/images/full/cedf-63643b28e97e8.png")</f>
        <v>http://cdn.wpsstatic.com/images/full/cedf-63643b28e97e8.png</v>
      </c>
      <c r="B2194" s="5" t="s">
        <v>2194</v>
      </c>
    </row>
    <row r="2195" spans="1:2" x14ac:dyDescent="0.2">
      <c r="A2195" s="4" t="str">
        <f>HYPERLINK("http://cdn.wpsstatic.com/images/full/cf20-572a55787659e.jpg", "http://cdn.wpsstatic.com/images/full/cf20-572a55787659e.jpg")</f>
        <v>http://cdn.wpsstatic.com/images/full/cf20-572a55787659e.jpg</v>
      </c>
      <c r="B2195" s="5" t="s">
        <v>2195</v>
      </c>
    </row>
    <row r="2196" spans="1:2" x14ac:dyDescent="0.2">
      <c r="A2196" s="4" t="str">
        <f>HYPERLINK("http://cdn.wpsstatic.com/images/full/cf3b-63643b2878f6c.png", "http://cdn.wpsstatic.com/images/full/cf3b-63643b2878f6c.png")</f>
        <v>http://cdn.wpsstatic.com/images/full/cf3b-63643b2878f6c.png</v>
      </c>
      <c r="B2196" s="5" t="s">
        <v>2196</v>
      </c>
    </row>
    <row r="2197" spans="1:2" x14ac:dyDescent="0.2">
      <c r="A2197" s="4" t="str">
        <f>HYPERLINK("http://cdn.wpsstatic.com/images/full/cf65-5d02988874412.jpg", "http://cdn.wpsstatic.com/images/full/cf65-5d02988874412.jpg")</f>
        <v>http://cdn.wpsstatic.com/images/full/cf65-5d02988874412.jpg</v>
      </c>
      <c r="B2197" s="5" t="s">
        <v>2197</v>
      </c>
    </row>
    <row r="2198" spans="1:2" x14ac:dyDescent="0.2">
      <c r="A2198" s="4" t="str">
        <f>HYPERLINK("http://cdn.wpsstatic.com/images/full/cf71-5f32b13dae934.jpg", "http://cdn.wpsstatic.com/images/full/cf71-5f32b13dae934.jpg")</f>
        <v>http://cdn.wpsstatic.com/images/full/cf71-5f32b13dae934.jpg</v>
      </c>
      <c r="B2198" s="5" t="s">
        <v>2198</v>
      </c>
    </row>
    <row r="2199" spans="1:2" x14ac:dyDescent="0.2">
      <c r="A2199" s="4" t="str">
        <f>HYPERLINK("http://cdn.wpsstatic.com/images/full/cf75-572a52fe5cb1c.jpg", "http://cdn.wpsstatic.com/images/full/cf75-572a52fe5cb1c.jpg")</f>
        <v>http://cdn.wpsstatic.com/images/full/cf75-572a52fe5cb1c.jpg</v>
      </c>
      <c r="B2199" s="5" t="s">
        <v>2199</v>
      </c>
    </row>
    <row r="2200" spans="1:2" x14ac:dyDescent="0.2">
      <c r="A2200" s="4" t="str">
        <f>HYPERLINK("http://cdn.wpsstatic.com/images/full/cf9d-572a541d5330a.jpg", "http://cdn.wpsstatic.com/images/full/cf9d-572a541d5330a.jpg")</f>
        <v>http://cdn.wpsstatic.com/images/full/cf9d-572a541d5330a.jpg</v>
      </c>
      <c r="B2200" s="5" t="s">
        <v>2200</v>
      </c>
    </row>
    <row r="2201" spans="1:2" x14ac:dyDescent="0.2">
      <c r="A2201" s="4" t="str">
        <f>HYPERLINK("http://cdn.wpsstatic.com/images/full/cfd8-572a537306e41.jpg", "http://cdn.wpsstatic.com/images/full/cfd8-572a537306e41.jpg")</f>
        <v>http://cdn.wpsstatic.com/images/full/cfd8-572a537306e41.jpg</v>
      </c>
      <c r="B2201" s="5" t="s">
        <v>2201</v>
      </c>
    </row>
    <row r="2202" spans="1:2" x14ac:dyDescent="0.2">
      <c r="A2202" s="4" t="str">
        <f>HYPERLINK("http://cdn.wpsstatic.com/images/full/d02e-5d028ba91ec67.jpg", "http://cdn.wpsstatic.com/images/full/d02e-5d028ba91ec67.jpg")</f>
        <v>http://cdn.wpsstatic.com/images/full/d02e-5d028ba91ec67.jpg</v>
      </c>
      <c r="B2202" s="5" t="s">
        <v>2202</v>
      </c>
    </row>
    <row r="2203" spans="1:2" x14ac:dyDescent="0.2">
      <c r="A2203" s="4" t="str">
        <f>HYPERLINK("http://cdn.wpsstatic.com/images/full/d031-572a539b17473.jpg", "http://cdn.wpsstatic.com/images/full/d031-572a539b17473.jpg")</f>
        <v>http://cdn.wpsstatic.com/images/full/d031-572a539b17473.jpg</v>
      </c>
      <c r="B2203" s="5" t="s">
        <v>2203</v>
      </c>
    </row>
    <row r="2204" spans="1:2" x14ac:dyDescent="0.2">
      <c r="A2204" s="4" t="str">
        <f>HYPERLINK("http://cdn.wpsstatic.com/images/full/d051-5d0299521ae7c.jpg", "http://cdn.wpsstatic.com/images/full/d051-5d0299521ae7c.jpg")</f>
        <v>http://cdn.wpsstatic.com/images/full/d051-5d0299521ae7c.jpg</v>
      </c>
      <c r="B2204" s="5" t="s">
        <v>2204</v>
      </c>
    </row>
    <row r="2205" spans="1:2" x14ac:dyDescent="0.2">
      <c r="A2205" s="4" t="str">
        <f>HYPERLINK("http://cdn.wpsstatic.com/images/full/d07a-572a54547a226.jpg", "http://cdn.wpsstatic.com/images/full/d07a-572a54547a226.jpg")</f>
        <v>http://cdn.wpsstatic.com/images/full/d07a-572a54547a226.jpg</v>
      </c>
      <c r="B2205" s="5" t="s">
        <v>2205</v>
      </c>
    </row>
    <row r="2206" spans="1:2" x14ac:dyDescent="0.2">
      <c r="A2206" s="4" t="str">
        <f>HYPERLINK("http://cdn.wpsstatic.com/images/full/d09f-572a53670f7a2.jpg", "http://cdn.wpsstatic.com/images/full/d09f-572a53670f7a2.jpg")</f>
        <v>http://cdn.wpsstatic.com/images/full/d09f-572a53670f7a2.jpg</v>
      </c>
      <c r="B2206" s="5" t="s">
        <v>2206</v>
      </c>
    </row>
    <row r="2207" spans="1:2" x14ac:dyDescent="0.2">
      <c r="A2207" s="4" t="str">
        <f>HYPERLINK("http://cdn.wpsstatic.com/images/full/d0d6-572a53fb7cae7.jpg", "http://cdn.wpsstatic.com/images/full/d0d6-572a53fb7cae7.jpg")</f>
        <v>http://cdn.wpsstatic.com/images/full/d0d6-572a53fb7cae7.jpg</v>
      </c>
      <c r="B2207" s="5" t="s">
        <v>2207</v>
      </c>
    </row>
    <row r="2208" spans="1:2" x14ac:dyDescent="0.2">
      <c r="A2208" s="4" t="str">
        <f>HYPERLINK("http://cdn.wpsstatic.com/images/full/d0eb-572a53c6141d6.jpg", "http://cdn.wpsstatic.com/images/full/d0eb-572a53c6141d6.jpg")</f>
        <v>http://cdn.wpsstatic.com/images/full/d0eb-572a53c6141d6.jpg</v>
      </c>
      <c r="B2208" s="5" t="s">
        <v>2208</v>
      </c>
    </row>
    <row r="2209" spans="1:2" x14ac:dyDescent="0.2">
      <c r="A2209" s="4" t="str">
        <f>HYPERLINK("http://cdn.wpsstatic.com/images/full/d102-572a53baa265f.jpg", "http://cdn.wpsstatic.com/images/full/d102-572a53baa265f.jpg")</f>
        <v>http://cdn.wpsstatic.com/images/full/d102-572a53baa265f.jpg</v>
      </c>
      <c r="B2209" s="5" t="s">
        <v>2209</v>
      </c>
    </row>
    <row r="2210" spans="1:2" x14ac:dyDescent="0.2">
      <c r="A2210" s="4" t="str">
        <f>HYPERLINK("http://cdn.wpsstatic.com/images/full/d112-572a5383edc4f.jpg", "http://cdn.wpsstatic.com/images/full/d112-572a5383edc4f.jpg")</f>
        <v>http://cdn.wpsstatic.com/images/full/d112-572a5383edc4f.jpg</v>
      </c>
      <c r="B2210" s="5" t="s">
        <v>2210</v>
      </c>
    </row>
    <row r="2211" spans="1:2" x14ac:dyDescent="0.2">
      <c r="A2211" s="4" t="str">
        <f>HYPERLINK("http://cdn.wpsstatic.com/images/full/d12b-5885c2f612cbe.jpg", "http://cdn.wpsstatic.com/images/full/d12b-5885c2f612cbe.jpg")</f>
        <v>http://cdn.wpsstatic.com/images/full/d12b-5885c2f612cbe.jpg</v>
      </c>
      <c r="B2211" s="5" t="s">
        <v>2211</v>
      </c>
    </row>
    <row r="2212" spans="1:2" x14ac:dyDescent="0.2">
      <c r="A2212" s="4" t="str">
        <f>HYPERLINK("http://cdn.wpsstatic.com/images/full/d143-572a562dee35c.jpg", "http://cdn.wpsstatic.com/images/full/d143-572a562dee35c.jpg")</f>
        <v>http://cdn.wpsstatic.com/images/full/d143-572a562dee35c.jpg</v>
      </c>
      <c r="B2212" s="5" t="s">
        <v>2212</v>
      </c>
    </row>
    <row r="2213" spans="1:2" x14ac:dyDescent="0.2">
      <c r="A2213" s="4" t="str">
        <f>HYPERLINK("http://cdn.wpsstatic.com/images/full/d189-572a5256602ac.jpg", "http://cdn.wpsstatic.com/images/full/d189-572a5256602ac.jpg")</f>
        <v>http://cdn.wpsstatic.com/images/full/d189-572a5256602ac.jpg</v>
      </c>
      <c r="B2213" s="5" t="s">
        <v>2213</v>
      </c>
    </row>
    <row r="2214" spans="1:2" x14ac:dyDescent="0.2">
      <c r="A2214" s="4" t="str">
        <f>HYPERLINK("http://cdn.wpsstatic.com/images/full/d20a-5ecd3ce1b5f83.jpg", "http://cdn.wpsstatic.com/images/full/d20a-5ecd3ce1b5f83.jpg")</f>
        <v>http://cdn.wpsstatic.com/images/full/d20a-5ecd3ce1b5f83.jpg</v>
      </c>
      <c r="B2214" s="5" t="s">
        <v>2214</v>
      </c>
    </row>
    <row r="2215" spans="1:2" x14ac:dyDescent="0.2">
      <c r="A2215" s="4" t="str">
        <f>HYPERLINK("http://cdn.wpsstatic.com/images/full/d222-572a53f5b52fa.jpg", "http://cdn.wpsstatic.com/images/full/d222-572a53f5b52fa.jpg")</f>
        <v>http://cdn.wpsstatic.com/images/full/d222-572a53f5b52fa.jpg</v>
      </c>
      <c r="B2215" s="5" t="s">
        <v>2215</v>
      </c>
    </row>
    <row r="2216" spans="1:2" x14ac:dyDescent="0.2">
      <c r="A2216" s="4" t="str">
        <f>HYPERLINK("http://cdn.wpsstatic.com/images/full/d223-572a541baa22c.jpg", "http://cdn.wpsstatic.com/images/full/d223-572a541baa22c.jpg")</f>
        <v>http://cdn.wpsstatic.com/images/full/d223-572a541baa22c.jpg</v>
      </c>
      <c r="B2216" s="5" t="s">
        <v>2216</v>
      </c>
    </row>
    <row r="2217" spans="1:2" x14ac:dyDescent="0.2">
      <c r="A2217" s="4" t="str">
        <f>HYPERLINK("http://cdn.wpsstatic.com/images/full/d263-572a539c39e1e.jpg", "http://cdn.wpsstatic.com/images/full/d263-572a539c39e1e.jpg")</f>
        <v>http://cdn.wpsstatic.com/images/full/d263-572a539c39e1e.jpg</v>
      </c>
      <c r="B2217" s="5" t="s">
        <v>2217</v>
      </c>
    </row>
    <row r="2218" spans="1:2" x14ac:dyDescent="0.2">
      <c r="A2218" s="4" t="str">
        <f>HYPERLINK("http://cdn.wpsstatic.com/images/full/d26c-6171d7e3e82fa.png", "http://cdn.wpsstatic.com/images/full/d26c-6171d7e3e82fa.png")</f>
        <v>http://cdn.wpsstatic.com/images/full/d26c-6171d7e3e82fa.png</v>
      </c>
      <c r="B2218" s="5" t="s">
        <v>2218</v>
      </c>
    </row>
    <row r="2219" spans="1:2" x14ac:dyDescent="0.2">
      <c r="A2219" s="4" t="str">
        <f>HYPERLINK("http://cdn.wpsstatic.com/images/full/d286-572a54a695d99.jpg", "http://cdn.wpsstatic.com/images/full/d286-572a54a695d99.jpg")</f>
        <v>http://cdn.wpsstatic.com/images/full/d286-572a54a695d99.jpg</v>
      </c>
      <c r="B2219" s="5" t="s">
        <v>2219</v>
      </c>
    </row>
    <row r="2220" spans="1:2" x14ac:dyDescent="0.2">
      <c r="A2220" s="4" t="str">
        <f>HYPERLINK("http://cdn.wpsstatic.com/images/full/d2a9-572a548fe6bdf.jpg", "http://cdn.wpsstatic.com/images/full/d2a9-572a548fe6bdf.jpg")</f>
        <v>http://cdn.wpsstatic.com/images/full/d2a9-572a548fe6bdf.jpg</v>
      </c>
      <c r="B2220" s="5" t="s">
        <v>2220</v>
      </c>
    </row>
    <row r="2221" spans="1:2" x14ac:dyDescent="0.2">
      <c r="A2221" s="4" t="str">
        <f>HYPERLINK("http://cdn.wpsstatic.com/images/full/d2b2-572a5427544b6.jpg", "http://cdn.wpsstatic.com/images/full/d2b2-572a5427544b6.jpg")</f>
        <v>http://cdn.wpsstatic.com/images/full/d2b2-572a5427544b6.jpg</v>
      </c>
      <c r="B2221" s="5" t="s">
        <v>2221</v>
      </c>
    </row>
    <row r="2222" spans="1:2" x14ac:dyDescent="0.2">
      <c r="A2222" s="4" t="str">
        <f>HYPERLINK("http://cdn.wpsstatic.com/images/full/d2c3-5f57b5cc18ddc.jpg", "http://cdn.wpsstatic.com/images/full/d2c3-5f57b5cc18ddc.jpg")</f>
        <v>http://cdn.wpsstatic.com/images/full/d2c3-5f57b5cc18ddc.jpg</v>
      </c>
      <c r="B2222" s="5" t="s">
        <v>2222</v>
      </c>
    </row>
    <row r="2223" spans="1:2" x14ac:dyDescent="0.2">
      <c r="A2223" s="4" t="str">
        <f>HYPERLINK("http://cdn.wpsstatic.com/images/full/d2dd-572a5446b4fc8.jpg", "http://cdn.wpsstatic.com/images/full/d2dd-572a5446b4fc8.jpg")</f>
        <v>http://cdn.wpsstatic.com/images/full/d2dd-572a5446b4fc8.jpg</v>
      </c>
      <c r="B2223" s="5" t="s">
        <v>2223</v>
      </c>
    </row>
    <row r="2224" spans="1:2" x14ac:dyDescent="0.2">
      <c r="A2224" s="4" t="str">
        <f>HYPERLINK("http://cdn.wpsstatic.com/images/full/d305-5d168489cbce8.jpg", "http://cdn.wpsstatic.com/images/full/d305-5d168489cbce8.jpg")</f>
        <v>http://cdn.wpsstatic.com/images/full/d305-5d168489cbce8.jpg</v>
      </c>
      <c r="B2224" s="5" t="s">
        <v>2224</v>
      </c>
    </row>
    <row r="2225" spans="1:2" x14ac:dyDescent="0.2">
      <c r="A2225" s="4" t="str">
        <f>HYPERLINK("http://cdn.wpsstatic.com/images/full/d30c-58d58f6ad475c.jpg", "http://cdn.wpsstatic.com/images/full/d30c-58d58f6ad475c.jpg")</f>
        <v>http://cdn.wpsstatic.com/images/full/d30c-58d58f6ad475c.jpg</v>
      </c>
      <c r="B2225" s="5" t="s">
        <v>2225</v>
      </c>
    </row>
    <row r="2226" spans="1:2" x14ac:dyDescent="0.2">
      <c r="A2226" s="4" t="str">
        <f>HYPERLINK("http://cdn.wpsstatic.com/images/full/d333-5f52a35f96739.jpg", "http://cdn.wpsstatic.com/images/full/d333-5f52a35f96739.jpg")</f>
        <v>http://cdn.wpsstatic.com/images/full/d333-5f52a35f96739.jpg</v>
      </c>
      <c r="B2226" s="5" t="s">
        <v>2226</v>
      </c>
    </row>
    <row r="2227" spans="1:2" x14ac:dyDescent="0.2">
      <c r="A2227" s="4" t="str">
        <f>HYPERLINK("http://cdn.wpsstatic.com/images/full/d347-572a52ffecdb8.jpg", "http://cdn.wpsstatic.com/images/full/d347-572a52ffecdb8.jpg")</f>
        <v>http://cdn.wpsstatic.com/images/full/d347-572a52ffecdb8.jpg</v>
      </c>
      <c r="B2227" s="5" t="s">
        <v>2227</v>
      </c>
    </row>
    <row r="2228" spans="1:2" x14ac:dyDescent="0.2">
      <c r="A2228" s="4" t="str">
        <f>HYPERLINK("http://cdn.wpsstatic.com/images/full/d350-60a6abb476291.png", "http://cdn.wpsstatic.com/images/full/d350-60a6abb476291.png")</f>
        <v>http://cdn.wpsstatic.com/images/full/d350-60a6abb476291.png</v>
      </c>
      <c r="B2228" s="5" t="s">
        <v>2228</v>
      </c>
    </row>
    <row r="2229" spans="1:2" x14ac:dyDescent="0.2">
      <c r="A2229" s="4" t="str">
        <f>HYPERLINK("http://cdn.wpsstatic.com/images/full/d35d-572a556623454.jpg", "http://cdn.wpsstatic.com/images/full/d35d-572a556623454.jpg")</f>
        <v>http://cdn.wpsstatic.com/images/full/d35d-572a556623454.jpg</v>
      </c>
      <c r="B2229" s="5" t="s">
        <v>2229</v>
      </c>
    </row>
    <row r="2230" spans="1:2" x14ac:dyDescent="0.2">
      <c r="A2230" s="4" t="str">
        <f>HYPERLINK("http://cdn.wpsstatic.com/images/full/d392-5d028c9ce6290.jpg", "http://cdn.wpsstatic.com/images/full/d392-5d028c9ce6290.jpg")</f>
        <v>http://cdn.wpsstatic.com/images/full/d392-5d028c9ce6290.jpg</v>
      </c>
      <c r="B2230" s="5" t="s">
        <v>2230</v>
      </c>
    </row>
    <row r="2231" spans="1:2" x14ac:dyDescent="0.2">
      <c r="A2231" s="4" t="str">
        <f>HYPERLINK("http://cdn.wpsstatic.com/images/full/d3c6-572a53b1755ec.jpg", "http://cdn.wpsstatic.com/images/full/d3c6-572a53b1755ec.jpg")</f>
        <v>http://cdn.wpsstatic.com/images/full/d3c6-572a53b1755ec.jpg</v>
      </c>
      <c r="B2231" s="5" t="s">
        <v>2231</v>
      </c>
    </row>
    <row r="2232" spans="1:2" x14ac:dyDescent="0.2">
      <c r="A2232" s="4" t="str">
        <f>HYPERLINK("http://cdn.wpsstatic.com/images/full/d3db-572a538a7cb4d.jpg", "http://cdn.wpsstatic.com/images/full/d3db-572a538a7cb4d.jpg")</f>
        <v>http://cdn.wpsstatic.com/images/full/d3db-572a538a7cb4d.jpg</v>
      </c>
      <c r="B2232" s="5" t="s">
        <v>2232</v>
      </c>
    </row>
    <row r="2233" spans="1:2" x14ac:dyDescent="0.2">
      <c r="A2233" s="4" t="str">
        <f>HYPERLINK("http://cdn.wpsstatic.com/images/full/d3fc-572a54f98faf9.jpg", "http://cdn.wpsstatic.com/images/full/d3fc-572a54f98faf9.jpg")</f>
        <v>http://cdn.wpsstatic.com/images/full/d3fc-572a54f98faf9.jpg</v>
      </c>
      <c r="B2233" s="5" t="s">
        <v>2233</v>
      </c>
    </row>
    <row r="2234" spans="1:2" x14ac:dyDescent="0.2">
      <c r="A2234" s="4" t="str">
        <f>HYPERLINK("http://cdn.wpsstatic.com/images/full/d435-572a536db0535.jpg", "http://cdn.wpsstatic.com/images/full/d435-572a536db0535.jpg")</f>
        <v>http://cdn.wpsstatic.com/images/full/d435-572a536db0535.jpg</v>
      </c>
      <c r="B2234" s="5" t="s">
        <v>2234</v>
      </c>
    </row>
    <row r="2235" spans="1:2" x14ac:dyDescent="0.2">
      <c r="A2235" s="4" t="str">
        <f>HYPERLINK("http://cdn.wpsstatic.com/images/full/d4ad-572a52b22475d.jpg", "http://cdn.wpsstatic.com/images/full/d4ad-572a52b22475d.jpg")</f>
        <v>http://cdn.wpsstatic.com/images/full/d4ad-572a52b22475d.jpg</v>
      </c>
      <c r="B2235" s="5" t="s">
        <v>2235</v>
      </c>
    </row>
    <row r="2236" spans="1:2" x14ac:dyDescent="0.2">
      <c r="A2236" s="4" t="str">
        <f>HYPERLINK("http://cdn.wpsstatic.com/images/full/d4af-572a52581c69d.jpg", "http://cdn.wpsstatic.com/images/full/d4af-572a52581c69d.jpg")</f>
        <v>http://cdn.wpsstatic.com/images/full/d4af-572a52581c69d.jpg</v>
      </c>
      <c r="B2236" s="5" t="s">
        <v>2236</v>
      </c>
    </row>
    <row r="2237" spans="1:2" x14ac:dyDescent="0.2">
      <c r="A2237" s="4" t="str">
        <f>HYPERLINK("http://cdn.wpsstatic.com/images/full/d4d0-5885c1e419a2a.jpg", "http://cdn.wpsstatic.com/images/full/d4d0-5885c1e419a2a.jpg")</f>
        <v>http://cdn.wpsstatic.com/images/full/d4d0-5885c1e419a2a.jpg</v>
      </c>
      <c r="B2237" s="5" t="s">
        <v>2237</v>
      </c>
    </row>
    <row r="2238" spans="1:2" x14ac:dyDescent="0.2">
      <c r="A2238" s="4" t="str">
        <f>HYPERLINK("http://cdn.wpsstatic.com/images/full/d4dc-572a5526a6212.jpg", "http://cdn.wpsstatic.com/images/full/d4dc-572a5526a6212.jpg")</f>
        <v>http://cdn.wpsstatic.com/images/full/d4dc-572a5526a6212.jpg</v>
      </c>
      <c r="B2238" s="5" t="s">
        <v>2238</v>
      </c>
    </row>
    <row r="2239" spans="1:2" x14ac:dyDescent="0.2">
      <c r="A2239" s="4" t="str">
        <f>HYPERLINK("http://cdn.wpsstatic.com/images/full/d4f3-572a533ccae59.jpg", "http://cdn.wpsstatic.com/images/full/d4f3-572a533ccae59.jpg")</f>
        <v>http://cdn.wpsstatic.com/images/full/d4f3-572a533ccae59.jpg</v>
      </c>
      <c r="B2239" s="5" t="s">
        <v>2239</v>
      </c>
    </row>
    <row r="2240" spans="1:2" x14ac:dyDescent="0.2">
      <c r="A2240" s="4" t="str">
        <f>HYPERLINK("http://cdn.wpsstatic.com/images/full/d502-572a5509f2ca8.jpg", "http://cdn.wpsstatic.com/images/full/d502-572a5509f2ca8.jpg")</f>
        <v>http://cdn.wpsstatic.com/images/full/d502-572a5509f2ca8.jpg</v>
      </c>
      <c r="B2240" s="5" t="s">
        <v>2240</v>
      </c>
    </row>
    <row r="2241" spans="1:2" x14ac:dyDescent="0.2">
      <c r="A2241" s="4" t="str">
        <f>HYPERLINK("http://cdn.wpsstatic.com/images/full/d530-572a555536ef2.jpg", "http://cdn.wpsstatic.com/images/full/d530-572a555536ef2.jpg")</f>
        <v>http://cdn.wpsstatic.com/images/full/d530-572a555536ef2.jpg</v>
      </c>
      <c r="B2241" s="5" t="s">
        <v>2241</v>
      </c>
    </row>
    <row r="2242" spans="1:2" x14ac:dyDescent="0.2">
      <c r="A2242" s="4" t="str">
        <f>HYPERLINK("http://cdn.wpsstatic.com/images/full/d532-572a549eea03d.jpg", "http://cdn.wpsstatic.com/images/full/d532-572a549eea03d.jpg")</f>
        <v>http://cdn.wpsstatic.com/images/full/d532-572a549eea03d.jpg</v>
      </c>
      <c r="B2242" s="5" t="s">
        <v>2242</v>
      </c>
    </row>
    <row r="2243" spans="1:2" x14ac:dyDescent="0.2">
      <c r="A2243" s="4" t="str">
        <f>HYPERLINK("http://cdn.wpsstatic.com/images/full/d574-572a53da2e17f.jpg", "http://cdn.wpsstatic.com/images/full/d574-572a53da2e17f.jpg")</f>
        <v>http://cdn.wpsstatic.com/images/full/d574-572a53da2e17f.jpg</v>
      </c>
      <c r="B2243" s="5" t="s">
        <v>2243</v>
      </c>
    </row>
    <row r="2244" spans="1:2" x14ac:dyDescent="0.2">
      <c r="A2244" s="4" t="str">
        <f>HYPERLINK("http://cdn.wpsstatic.com/images/full/d588-572a531b23b34.jpg", "http://cdn.wpsstatic.com/images/full/d588-572a531b23b34.jpg")</f>
        <v>http://cdn.wpsstatic.com/images/full/d588-572a531b23b34.jpg</v>
      </c>
      <c r="B2244" s="5" t="s">
        <v>2244</v>
      </c>
    </row>
    <row r="2245" spans="1:2" x14ac:dyDescent="0.2">
      <c r="A2245" s="4" t="str">
        <f>HYPERLINK("http://cdn.wpsstatic.com/images/full/d588-572a531b23b34.jpg", "http://cdn.wpsstatic.com/images/full/d588-572a531b23b34.jpg")</f>
        <v>http://cdn.wpsstatic.com/images/full/d588-572a531b23b34.jpg</v>
      </c>
      <c r="B2245" s="5" t="s">
        <v>2245</v>
      </c>
    </row>
    <row r="2246" spans="1:2" x14ac:dyDescent="0.2">
      <c r="A2246" s="4" t="str">
        <f>HYPERLINK("http://cdn.wpsstatic.com/images/full/d588-572a531b23b34.jpg", "http://cdn.wpsstatic.com/images/full/d588-572a531b23b34.jpg")</f>
        <v>http://cdn.wpsstatic.com/images/full/d588-572a531b23b34.jpg</v>
      </c>
      <c r="B2246" s="5" t="s">
        <v>2246</v>
      </c>
    </row>
    <row r="2247" spans="1:2" x14ac:dyDescent="0.2">
      <c r="A2247" s="4" t="str">
        <f>HYPERLINK("http://cdn.wpsstatic.com/images/full/d588-5fb449d220ebe.jpg", "http://cdn.wpsstatic.com/images/full/d588-5fb449d220ebe.jpg")</f>
        <v>http://cdn.wpsstatic.com/images/full/d588-5fb449d220ebe.jpg</v>
      </c>
      <c r="B2247" s="5" t="s">
        <v>2247</v>
      </c>
    </row>
    <row r="2248" spans="1:2" x14ac:dyDescent="0.2">
      <c r="A2248" s="4" t="str">
        <f>HYPERLINK("http://cdn.wpsstatic.com/images/full/d5a6-572a54ded067f.jpg", "http://cdn.wpsstatic.com/images/full/d5a6-572a54ded067f.jpg")</f>
        <v>http://cdn.wpsstatic.com/images/full/d5a6-572a54ded067f.jpg</v>
      </c>
      <c r="B2248" s="5" t="s">
        <v>2248</v>
      </c>
    </row>
    <row r="2249" spans="1:2" x14ac:dyDescent="0.2">
      <c r="A2249" s="4" t="str">
        <f>HYPERLINK("http://cdn.wpsstatic.com/images/full/d5b4-60c7772359d31.jpg", "http://cdn.wpsstatic.com/images/full/d5b4-60c7772359d31.jpg")</f>
        <v>http://cdn.wpsstatic.com/images/full/d5b4-60c7772359d31.jpg</v>
      </c>
      <c r="B2249" s="5" t="s">
        <v>2249</v>
      </c>
    </row>
    <row r="2250" spans="1:2" x14ac:dyDescent="0.2">
      <c r="A2250" s="4" t="str">
        <f>HYPERLINK("http://cdn.wpsstatic.com/images/full/d5d0-5885c23a40f6b.jpg", "http://cdn.wpsstatic.com/images/full/d5d0-5885c23a40f6b.jpg")</f>
        <v>http://cdn.wpsstatic.com/images/full/d5d0-5885c23a40f6b.jpg</v>
      </c>
      <c r="B2250" s="5" t="s">
        <v>2250</v>
      </c>
    </row>
    <row r="2251" spans="1:2" x14ac:dyDescent="0.2">
      <c r="A2251" s="4" t="str">
        <f>HYPERLINK("http://cdn.wpsstatic.com/images/full/d5d5-572a52b2b8773.jpg", "http://cdn.wpsstatic.com/images/full/d5d5-572a52b2b8773.jpg")</f>
        <v>http://cdn.wpsstatic.com/images/full/d5d5-572a52b2b8773.jpg</v>
      </c>
      <c r="B2251" s="5" t="s">
        <v>2251</v>
      </c>
    </row>
    <row r="2252" spans="1:2" x14ac:dyDescent="0.2">
      <c r="A2252" s="4" t="str">
        <f>HYPERLINK("http://cdn.wpsstatic.com/images/full/d642-572a546f92bfc.jpg", "http://cdn.wpsstatic.com/images/full/d642-572a546f92bfc.jpg")</f>
        <v>http://cdn.wpsstatic.com/images/full/d642-572a546f92bfc.jpg</v>
      </c>
      <c r="B2252" s="5" t="s">
        <v>2252</v>
      </c>
    </row>
    <row r="2253" spans="1:2" x14ac:dyDescent="0.2">
      <c r="A2253" s="4" t="str">
        <f>HYPERLINK("http://cdn.wpsstatic.com/images/full/d6a2-572a54d95ee9e.jpg", "http://cdn.wpsstatic.com/images/full/d6a2-572a54d95ee9e.jpg")</f>
        <v>http://cdn.wpsstatic.com/images/full/d6a2-572a54d95ee9e.jpg</v>
      </c>
      <c r="B2253" s="5" t="s">
        <v>2253</v>
      </c>
    </row>
    <row r="2254" spans="1:2" x14ac:dyDescent="0.2">
      <c r="A2254" s="4" t="str">
        <f>HYPERLINK("http://cdn.wpsstatic.com/images/full/d6b4-572a546a405bf.jpg", "http://cdn.wpsstatic.com/images/full/d6b4-572a546a405bf.jpg")</f>
        <v>http://cdn.wpsstatic.com/images/full/d6b4-572a546a405bf.jpg</v>
      </c>
      <c r="B2254" s="5" t="s">
        <v>2254</v>
      </c>
    </row>
    <row r="2255" spans="1:2" x14ac:dyDescent="0.2">
      <c r="A2255" s="4" t="str">
        <f>HYPERLINK("http://cdn.wpsstatic.com/images/full/d6bc-572a524c74151.jpg", "http://cdn.wpsstatic.com/images/full/d6bc-572a524c74151.jpg")</f>
        <v>http://cdn.wpsstatic.com/images/full/d6bc-572a524c74151.jpg</v>
      </c>
      <c r="B2255" s="5" t="s">
        <v>2255</v>
      </c>
    </row>
    <row r="2256" spans="1:2" x14ac:dyDescent="0.2">
      <c r="A2256" s="4" t="str">
        <f>HYPERLINK("http://cdn.wpsstatic.com/images/full/d705-5f529a1310708.jpg", "http://cdn.wpsstatic.com/images/full/d705-5f529a1310708.jpg")</f>
        <v>http://cdn.wpsstatic.com/images/full/d705-5f529a1310708.jpg</v>
      </c>
      <c r="B2256" s="5" t="s">
        <v>2256</v>
      </c>
    </row>
    <row r="2257" spans="1:2" x14ac:dyDescent="0.2">
      <c r="A2257" s="4" t="str">
        <f>HYPERLINK("http://cdn.wpsstatic.com/images/full/d730-572a55314daae.jpg", "http://cdn.wpsstatic.com/images/full/d730-572a55314daae.jpg")</f>
        <v>http://cdn.wpsstatic.com/images/full/d730-572a55314daae.jpg</v>
      </c>
      <c r="B2257" s="5" t="s">
        <v>2257</v>
      </c>
    </row>
    <row r="2258" spans="1:2" x14ac:dyDescent="0.2">
      <c r="A2258" s="4" t="str">
        <f>HYPERLINK("http://cdn.wpsstatic.com/images/full/d73b-572a5377e3d2a.jpg", "http://cdn.wpsstatic.com/images/full/d73b-572a5377e3d2a.jpg")</f>
        <v>http://cdn.wpsstatic.com/images/full/d73b-572a5377e3d2a.jpg</v>
      </c>
      <c r="B2258" s="5" t="s">
        <v>2258</v>
      </c>
    </row>
    <row r="2259" spans="1:2" x14ac:dyDescent="0.2">
      <c r="A2259" s="4" t="str">
        <f>HYPERLINK("http://cdn.wpsstatic.com/images/full/d75e-572a53c413999.jpg", "http://cdn.wpsstatic.com/images/full/d75e-572a53c413999.jpg")</f>
        <v>http://cdn.wpsstatic.com/images/full/d75e-572a53c413999.jpg</v>
      </c>
      <c r="B2259" s="5" t="s">
        <v>2259</v>
      </c>
    </row>
    <row r="2260" spans="1:2" x14ac:dyDescent="0.2">
      <c r="A2260" s="4" t="str">
        <f>HYPERLINK("http://cdn.wpsstatic.com/images/full/d77d-572a543e5591f.jpg", "http://cdn.wpsstatic.com/images/full/d77d-572a543e5591f.jpg")</f>
        <v>http://cdn.wpsstatic.com/images/full/d77d-572a543e5591f.jpg</v>
      </c>
      <c r="B2260" s="5" t="s">
        <v>2260</v>
      </c>
    </row>
    <row r="2261" spans="1:2" x14ac:dyDescent="0.2">
      <c r="A2261" s="4" t="str">
        <f>HYPERLINK("http://cdn.wpsstatic.com/images/full/d7a4-572a564578fff.jpg", "http://cdn.wpsstatic.com/images/full/d7a4-572a564578fff.jpg")</f>
        <v>http://cdn.wpsstatic.com/images/full/d7a4-572a564578fff.jpg</v>
      </c>
      <c r="B2261" s="5" t="s">
        <v>2261</v>
      </c>
    </row>
    <row r="2262" spans="1:2" x14ac:dyDescent="0.2">
      <c r="A2262" s="4" t="str">
        <f>HYPERLINK("http://cdn.wpsstatic.com/images/full/d7d0-572a52becf197.jpg", "http://cdn.wpsstatic.com/images/full/d7d0-572a52becf197.jpg")</f>
        <v>http://cdn.wpsstatic.com/images/full/d7d0-572a52becf197.jpg</v>
      </c>
      <c r="B2262" s="5" t="s">
        <v>2262</v>
      </c>
    </row>
    <row r="2263" spans="1:2" x14ac:dyDescent="0.2">
      <c r="A2263" s="4" t="str">
        <f>HYPERLINK("http://cdn.wpsstatic.com/images/full/d7da-5d029bd9ca8d7.jpg", "http://cdn.wpsstatic.com/images/full/d7da-5d029bd9ca8d7.jpg")</f>
        <v>http://cdn.wpsstatic.com/images/full/d7da-5d029bd9ca8d7.jpg</v>
      </c>
      <c r="B2263" s="5" t="s">
        <v>2263</v>
      </c>
    </row>
    <row r="2264" spans="1:2" x14ac:dyDescent="0.2">
      <c r="A2264" s="4" t="str">
        <f>HYPERLINK("http://cdn.wpsstatic.com/images/full/d7df-5d16845d8809f.jpg", "http://cdn.wpsstatic.com/images/full/d7df-5d16845d8809f.jpg")</f>
        <v>http://cdn.wpsstatic.com/images/full/d7df-5d16845d8809f.jpg</v>
      </c>
      <c r="B2264" s="5" t="s">
        <v>2264</v>
      </c>
    </row>
    <row r="2265" spans="1:2" x14ac:dyDescent="0.2">
      <c r="A2265" s="4" t="str">
        <f>HYPERLINK("http://cdn.wpsstatic.com/images/full/d7fb-572a52832829e.jpg", "http://cdn.wpsstatic.com/images/full/d7fb-572a52832829e.jpg")</f>
        <v>http://cdn.wpsstatic.com/images/full/d7fb-572a52832829e.jpg</v>
      </c>
      <c r="B2265" s="5" t="s">
        <v>2265</v>
      </c>
    </row>
    <row r="2266" spans="1:2" x14ac:dyDescent="0.2">
      <c r="A2266" s="4" t="str">
        <f>HYPERLINK("http://cdn.wpsstatic.com/images/full/d800-572a545f48c69.jpg", "http://cdn.wpsstatic.com/images/full/d800-572a545f48c69.jpg")</f>
        <v>http://cdn.wpsstatic.com/images/full/d800-572a545f48c69.jpg</v>
      </c>
      <c r="B2266" s="5" t="s">
        <v>2266</v>
      </c>
    </row>
    <row r="2267" spans="1:2" x14ac:dyDescent="0.2">
      <c r="A2267" s="4" t="str">
        <f>HYPERLINK("http://cdn.wpsstatic.com/images/full/d84e-572a524eaefe2.jpg", "http://cdn.wpsstatic.com/images/full/d84e-572a524eaefe2.jpg")</f>
        <v>http://cdn.wpsstatic.com/images/full/d84e-572a524eaefe2.jpg</v>
      </c>
      <c r="B2267" s="5" t="s">
        <v>2267</v>
      </c>
    </row>
    <row r="2268" spans="1:2" x14ac:dyDescent="0.2">
      <c r="A2268" s="4" t="str">
        <f>HYPERLINK("http://cdn.wpsstatic.com/images/full/d864-572a53be37d39.jpg", "http://cdn.wpsstatic.com/images/full/d864-572a53be37d39.jpg")</f>
        <v>http://cdn.wpsstatic.com/images/full/d864-572a53be37d39.jpg</v>
      </c>
      <c r="B2268" s="5" t="s">
        <v>2268</v>
      </c>
    </row>
    <row r="2269" spans="1:2" x14ac:dyDescent="0.2">
      <c r="A2269" s="4" t="str">
        <f>HYPERLINK("http://cdn.wpsstatic.com/images/full/d879-572a54ad33e06.jpg", "http://cdn.wpsstatic.com/images/full/d879-572a54ad33e06.jpg")</f>
        <v>http://cdn.wpsstatic.com/images/full/d879-572a54ad33e06.jpg</v>
      </c>
      <c r="B2269" s="5" t="s">
        <v>2269</v>
      </c>
    </row>
    <row r="2270" spans="1:2" x14ac:dyDescent="0.2">
      <c r="A2270" s="4" t="str">
        <f>HYPERLINK("http://cdn.wpsstatic.com/images/full/d8b2-572a52bb1fb1f.jpg", "http://cdn.wpsstatic.com/images/full/d8b2-572a52bb1fb1f.jpg")</f>
        <v>http://cdn.wpsstatic.com/images/full/d8b2-572a52bb1fb1f.jpg</v>
      </c>
      <c r="B2270" s="5" t="s">
        <v>2270</v>
      </c>
    </row>
    <row r="2271" spans="1:2" x14ac:dyDescent="0.2">
      <c r="A2271" s="4" t="str">
        <f>HYPERLINK("http://cdn.wpsstatic.com/images/full/d8c2-5d02913342e57.jpg", "http://cdn.wpsstatic.com/images/full/d8c2-5d02913342e57.jpg")</f>
        <v>http://cdn.wpsstatic.com/images/full/d8c2-5d02913342e57.jpg</v>
      </c>
      <c r="B2271" s="5" t="s">
        <v>2271</v>
      </c>
    </row>
    <row r="2272" spans="1:2" x14ac:dyDescent="0.2">
      <c r="A2272" s="4" t="str">
        <f>HYPERLINK("http://cdn.wpsstatic.com/images/full/d8df-5d029862b604a.jpg", "http://cdn.wpsstatic.com/images/full/d8df-5d029862b604a.jpg")</f>
        <v>http://cdn.wpsstatic.com/images/full/d8df-5d029862b604a.jpg</v>
      </c>
      <c r="B2272" s="5" t="s">
        <v>2272</v>
      </c>
    </row>
    <row r="2273" spans="1:2" x14ac:dyDescent="0.2">
      <c r="A2273" s="4" t="str">
        <f>HYPERLINK("http://cdn.wpsstatic.com/images/full/d8f0-572a55756c2f7.jpg", "http://cdn.wpsstatic.com/images/full/d8f0-572a55756c2f7.jpg")</f>
        <v>http://cdn.wpsstatic.com/images/full/d8f0-572a55756c2f7.jpg</v>
      </c>
      <c r="B2273" s="5" t="s">
        <v>2273</v>
      </c>
    </row>
    <row r="2274" spans="1:2" x14ac:dyDescent="0.2">
      <c r="A2274" s="4" t="str">
        <f>HYPERLINK("http://cdn.wpsstatic.com/images/full/d8f6-58d58faaec05d.jpg", "http://cdn.wpsstatic.com/images/full/d8f6-58d58faaec05d.jpg")</f>
        <v>http://cdn.wpsstatic.com/images/full/d8f6-58d58faaec05d.jpg</v>
      </c>
      <c r="B2274" s="5" t="s">
        <v>2274</v>
      </c>
    </row>
    <row r="2275" spans="1:2" x14ac:dyDescent="0.2">
      <c r="A2275" s="4" t="str">
        <f>HYPERLINK("http://cdn.wpsstatic.com/images/full/d8fc-572a53eb94746.jpg", "http://cdn.wpsstatic.com/images/full/d8fc-572a53eb94746.jpg")</f>
        <v>http://cdn.wpsstatic.com/images/full/d8fc-572a53eb94746.jpg</v>
      </c>
      <c r="B2275" s="5" t="s">
        <v>2275</v>
      </c>
    </row>
    <row r="2276" spans="1:2" x14ac:dyDescent="0.2">
      <c r="A2276" s="4" t="str">
        <f>HYPERLINK("http://cdn.wpsstatic.com/images/full/d90a-5885c22698740.jpg", "http://cdn.wpsstatic.com/images/full/d90a-5885c22698740.jpg")</f>
        <v>http://cdn.wpsstatic.com/images/full/d90a-5885c22698740.jpg</v>
      </c>
      <c r="B2276" s="5" t="s">
        <v>2276</v>
      </c>
    </row>
    <row r="2277" spans="1:2" x14ac:dyDescent="0.2">
      <c r="A2277" s="4" t="str">
        <f>HYPERLINK("http://cdn.wpsstatic.com/images/full/d90f-572a53497b44d.jpg", "http://cdn.wpsstatic.com/images/full/d90f-572a53497b44d.jpg")</f>
        <v>http://cdn.wpsstatic.com/images/full/d90f-572a53497b44d.jpg</v>
      </c>
      <c r="B2277" s="5" t="s">
        <v>2277</v>
      </c>
    </row>
    <row r="2278" spans="1:2" x14ac:dyDescent="0.2">
      <c r="A2278" s="4" t="str">
        <f>HYPERLINK("http://cdn.wpsstatic.com/images/full/d941-572a54c1b12d2.jpg", "http://cdn.wpsstatic.com/images/full/d941-572a54c1b12d2.jpg")</f>
        <v>http://cdn.wpsstatic.com/images/full/d941-572a54c1b12d2.jpg</v>
      </c>
      <c r="B2278" s="5" t="s">
        <v>2278</v>
      </c>
    </row>
    <row r="2279" spans="1:2" x14ac:dyDescent="0.2">
      <c r="A2279" s="4" t="str">
        <f>HYPERLINK("http://cdn.wpsstatic.com/images/full/d952-572a550fcc5f0.jpg", "http://cdn.wpsstatic.com/images/full/d952-572a550fcc5f0.jpg")</f>
        <v>http://cdn.wpsstatic.com/images/full/d952-572a550fcc5f0.jpg</v>
      </c>
      <c r="B2279" s="5" t="s">
        <v>2279</v>
      </c>
    </row>
    <row r="2280" spans="1:2" x14ac:dyDescent="0.2">
      <c r="A2280" s="4" t="str">
        <f>HYPERLINK("http://cdn.wpsstatic.com/images/full/d98e-572a528b53d8f.jpg", "http://cdn.wpsstatic.com/images/full/d98e-572a528b53d8f.jpg")</f>
        <v>http://cdn.wpsstatic.com/images/full/d98e-572a528b53d8f.jpg</v>
      </c>
      <c r="B2280" s="5" t="s">
        <v>2280</v>
      </c>
    </row>
    <row r="2281" spans="1:2" x14ac:dyDescent="0.2">
      <c r="A2281" s="4" t="str">
        <f>HYPERLINK("http://cdn.wpsstatic.com/images/full/d9e1-572a53b274a3e.jpg", "http://cdn.wpsstatic.com/images/full/d9e1-572a53b274a3e.jpg")</f>
        <v>http://cdn.wpsstatic.com/images/full/d9e1-572a53b274a3e.jpg</v>
      </c>
      <c r="B2281" s="5" t="s">
        <v>2281</v>
      </c>
    </row>
    <row r="2282" spans="1:2" x14ac:dyDescent="0.2">
      <c r="A2282" s="4" t="str">
        <f>HYPERLINK("http://cdn.wpsstatic.com/images/full/d9fa-572a5560682cb.jpg", "http://cdn.wpsstatic.com/images/full/d9fa-572a5560682cb.jpg")</f>
        <v>http://cdn.wpsstatic.com/images/full/d9fa-572a5560682cb.jpg</v>
      </c>
      <c r="B2282" s="5" t="s">
        <v>2282</v>
      </c>
    </row>
    <row r="2283" spans="1:2" x14ac:dyDescent="0.2">
      <c r="A2283" s="4" t="str">
        <f>HYPERLINK("http://cdn.wpsstatic.com/images/full/da00-572a54e5d05f6.jpg", "http://cdn.wpsstatic.com/images/full/da00-572a54e5d05f6.jpg")</f>
        <v>http://cdn.wpsstatic.com/images/full/da00-572a54e5d05f6.jpg</v>
      </c>
      <c r="B2283" s="5" t="s">
        <v>2283</v>
      </c>
    </row>
    <row r="2284" spans="1:2" x14ac:dyDescent="0.2">
      <c r="A2284" s="4" t="str">
        <f>HYPERLINK("http://cdn.wpsstatic.com/images/full/da06-5f57a2f5a6bef.jpg", "http://cdn.wpsstatic.com/images/full/da06-5f57a2f5a6bef.jpg")</f>
        <v>http://cdn.wpsstatic.com/images/full/da06-5f57a2f5a6bef.jpg</v>
      </c>
      <c r="B2284" s="5" t="s">
        <v>2284</v>
      </c>
    </row>
    <row r="2285" spans="1:2" x14ac:dyDescent="0.2">
      <c r="A2285" s="4" t="str">
        <f>HYPERLINK("http://cdn.wpsstatic.com/images/full/da38-604104ee05ebc.jpg", "http://cdn.wpsstatic.com/images/full/da38-604104ee05ebc.jpg")</f>
        <v>http://cdn.wpsstatic.com/images/full/da38-604104ee05ebc.jpg</v>
      </c>
      <c r="B2285" s="5" t="s">
        <v>2285</v>
      </c>
    </row>
    <row r="2286" spans="1:2" x14ac:dyDescent="0.2">
      <c r="A2286" s="4" t="str">
        <f>HYPERLINK("http://cdn.wpsstatic.com/images/full/da46-5ecd3c3c82d02.jpg", "http://cdn.wpsstatic.com/images/full/da46-5ecd3c3c82d02.jpg")</f>
        <v>http://cdn.wpsstatic.com/images/full/da46-5ecd3c3c82d02.jpg</v>
      </c>
      <c r="B2286" s="5" t="s">
        <v>2286</v>
      </c>
    </row>
    <row r="2287" spans="1:2" x14ac:dyDescent="0.2">
      <c r="A2287" s="4" t="str">
        <f>HYPERLINK("http://cdn.wpsstatic.com/images/full/da71-5f57a4e48f61f.jpg", "http://cdn.wpsstatic.com/images/full/da71-5f57a4e48f61f.jpg")</f>
        <v>http://cdn.wpsstatic.com/images/full/da71-5f57a4e48f61f.jpg</v>
      </c>
      <c r="B2287" s="5" t="s">
        <v>2287</v>
      </c>
    </row>
    <row r="2288" spans="1:2" x14ac:dyDescent="0.2">
      <c r="A2288" s="4" t="str">
        <f>HYPERLINK("http://cdn.wpsstatic.com/images/full/dab1-572a74fe44062.jpg", "http://cdn.wpsstatic.com/images/full/dab1-572a74fe44062.jpg")</f>
        <v>http://cdn.wpsstatic.com/images/full/dab1-572a74fe44062.jpg</v>
      </c>
      <c r="B2288" s="5" t="s">
        <v>2288</v>
      </c>
    </row>
    <row r="2289" spans="1:2" x14ac:dyDescent="0.2">
      <c r="A2289" s="4" t="str">
        <f>HYPERLINK("http://cdn.wpsstatic.com/images/full/db02-572a53184c5dc.jpg", "http://cdn.wpsstatic.com/images/full/db02-572a53184c5dc.jpg")</f>
        <v>http://cdn.wpsstatic.com/images/full/db02-572a53184c5dc.jpg</v>
      </c>
      <c r="B2289" s="5" t="s">
        <v>2289</v>
      </c>
    </row>
    <row r="2290" spans="1:2" x14ac:dyDescent="0.2">
      <c r="A2290" s="4" t="str">
        <f>HYPERLINK("http://cdn.wpsstatic.com/images/full/db25-572a53736fa24.jpg", "http://cdn.wpsstatic.com/images/full/db25-572a53736fa24.jpg")</f>
        <v>http://cdn.wpsstatic.com/images/full/db25-572a53736fa24.jpg</v>
      </c>
      <c r="B2290" s="5" t="s">
        <v>2290</v>
      </c>
    </row>
    <row r="2291" spans="1:2" x14ac:dyDescent="0.2">
      <c r="A2291" s="4" t="str">
        <f>HYPERLINK("http://cdn.wpsstatic.com/images/full/db3c-572a54f63cb81.jpg", "http://cdn.wpsstatic.com/images/full/db3c-572a54f63cb81.jpg")</f>
        <v>http://cdn.wpsstatic.com/images/full/db3c-572a54f63cb81.jpg</v>
      </c>
      <c r="B2291" s="5" t="s">
        <v>2291</v>
      </c>
    </row>
    <row r="2292" spans="1:2" x14ac:dyDescent="0.2">
      <c r="A2292" s="4" t="str">
        <f>HYPERLINK("http://cdn.wpsstatic.com/images/full/db64-572a5499b4708.jpg", "http://cdn.wpsstatic.com/images/full/db64-572a5499b4708.jpg")</f>
        <v>http://cdn.wpsstatic.com/images/full/db64-572a5499b4708.jpg</v>
      </c>
      <c r="B2292" s="5" t="s">
        <v>2292</v>
      </c>
    </row>
    <row r="2293" spans="1:2" x14ac:dyDescent="0.2">
      <c r="A2293" s="4" t="str">
        <f>HYPERLINK("http://cdn.wpsstatic.com/images/full/db88-572a542bea33d.jpg", "http://cdn.wpsstatic.com/images/full/db88-572a542bea33d.jpg")</f>
        <v>http://cdn.wpsstatic.com/images/full/db88-572a542bea33d.jpg</v>
      </c>
      <c r="B2293" s="5" t="s">
        <v>2293</v>
      </c>
    </row>
    <row r="2294" spans="1:2" x14ac:dyDescent="0.2">
      <c r="A2294" s="4" t="str">
        <f>HYPERLINK("http://cdn.wpsstatic.com/images/full/dbb2-60a6aa66a860e.png", "http://cdn.wpsstatic.com/images/full/dbb2-60a6aa66a860e.png")</f>
        <v>http://cdn.wpsstatic.com/images/full/dbb2-60a6aa66a860e.png</v>
      </c>
      <c r="B2294" s="5" t="s">
        <v>2294</v>
      </c>
    </row>
    <row r="2295" spans="1:2" x14ac:dyDescent="0.2">
      <c r="A2295" s="4" t="str">
        <f>HYPERLINK("http://cdn.wpsstatic.com/images/full/dbba-572a54f787739.jpg", "http://cdn.wpsstatic.com/images/full/dbba-572a54f787739.jpg")</f>
        <v>http://cdn.wpsstatic.com/images/full/dbba-572a54f787739.jpg</v>
      </c>
      <c r="B2295" s="5" t="s">
        <v>2295</v>
      </c>
    </row>
    <row r="2296" spans="1:2" x14ac:dyDescent="0.2">
      <c r="A2296" s="4" t="str">
        <f>HYPERLINK("http://cdn.wpsstatic.com/images/full/dbcc-572a53c6e885d.jpg", "http://cdn.wpsstatic.com/images/full/dbcc-572a53c6e885d.jpg")</f>
        <v>http://cdn.wpsstatic.com/images/full/dbcc-572a53c6e885d.jpg</v>
      </c>
      <c r="B2296" s="5" t="s">
        <v>2296</v>
      </c>
    </row>
    <row r="2297" spans="1:2" x14ac:dyDescent="0.2">
      <c r="A2297" s="4" t="str">
        <f>HYPERLINK("http://cdn.wpsstatic.com/images/full/dc06-572a553696b09.jpg", "http://cdn.wpsstatic.com/images/full/dc06-572a553696b09.jpg")</f>
        <v>http://cdn.wpsstatic.com/images/full/dc06-572a553696b09.jpg</v>
      </c>
      <c r="B2297" s="5" t="s">
        <v>2297</v>
      </c>
    </row>
    <row r="2298" spans="1:2" x14ac:dyDescent="0.2">
      <c r="A2298" s="4" t="str">
        <f>HYPERLINK("http://cdn.wpsstatic.com/images/full/dc15-572a5387eb253.jpg", "http://cdn.wpsstatic.com/images/full/dc15-572a5387eb253.jpg")</f>
        <v>http://cdn.wpsstatic.com/images/full/dc15-572a5387eb253.jpg</v>
      </c>
      <c r="B2298" s="5" t="s">
        <v>2298</v>
      </c>
    </row>
    <row r="2299" spans="1:2" x14ac:dyDescent="0.2">
      <c r="A2299" s="4" t="str">
        <f>HYPERLINK("http://cdn.wpsstatic.com/images/full/dc62-5d02934c4b00b.jpg", "http://cdn.wpsstatic.com/images/full/dc62-5d02934c4b00b.jpg")</f>
        <v>http://cdn.wpsstatic.com/images/full/dc62-5d02934c4b00b.jpg</v>
      </c>
      <c r="B2299" s="5" t="s">
        <v>2299</v>
      </c>
    </row>
    <row r="2300" spans="1:2" x14ac:dyDescent="0.2">
      <c r="A2300" s="4" t="str">
        <f>HYPERLINK("http://cdn.wpsstatic.com/images/full/dc8c-572a531f06e9c.jpg", "http://cdn.wpsstatic.com/images/full/dc8c-572a531f06e9c.jpg")</f>
        <v>http://cdn.wpsstatic.com/images/full/dc8c-572a531f06e9c.jpg</v>
      </c>
      <c r="B2300" s="5" t="s">
        <v>2300</v>
      </c>
    </row>
    <row r="2301" spans="1:2" x14ac:dyDescent="0.2">
      <c r="A2301" s="4" t="str">
        <f>HYPERLINK("http://cdn.wpsstatic.com/images/full/dc97-5d0297ecb1302.jpg", "http://cdn.wpsstatic.com/images/full/dc97-5d0297ecb1302.jpg")</f>
        <v>http://cdn.wpsstatic.com/images/full/dc97-5d0297ecb1302.jpg</v>
      </c>
      <c r="B2301" s="5" t="s">
        <v>2301</v>
      </c>
    </row>
    <row r="2302" spans="1:2" x14ac:dyDescent="0.2">
      <c r="A2302" s="4" t="str">
        <f>HYPERLINK("http://cdn.wpsstatic.com/images/full/dca7-572a538d4ccfa.jpg", "http://cdn.wpsstatic.com/images/full/dca7-572a538d4ccfa.jpg")</f>
        <v>http://cdn.wpsstatic.com/images/full/dca7-572a538d4ccfa.jpg</v>
      </c>
      <c r="B2302" s="5" t="s">
        <v>2302</v>
      </c>
    </row>
    <row r="2303" spans="1:2" x14ac:dyDescent="0.2">
      <c r="A2303" s="4" t="str">
        <f>HYPERLINK("http://cdn.wpsstatic.com/images/full/dcbe-572a54c73e9f9.jpg", "http://cdn.wpsstatic.com/images/full/dcbe-572a54c73e9f9.jpg")</f>
        <v>http://cdn.wpsstatic.com/images/full/dcbe-572a54c73e9f9.jpg</v>
      </c>
      <c r="B2303" s="5" t="s">
        <v>2303</v>
      </c>
    </row>
    <row r="2304" spans="1:2" x14ac:dyDescent="0.2">
      <c r="A2304" s="4" t="str">
        <f>HYPERLINK("http://cdn.wpsstatic.com/images/full/dcc4-572a54680f080.jpg", "http://cdn.wpsstatic.com/images/full/dcc4-572a54680f080.jpg")</f>
        <v>http://cdn.wpsstatic.com/images/full/dcc4-572a54680f080.jpg</v>
      </c>
      <c r="B2304" s="5" t="s">
        <v>2304</v>
      </c>
    </row>
    <row r="2305" spans="1:2" x14ac:dyDescent="0.2">
      <c r="A2305" s="4" t="str">
        <f>HYPERLINK("http://cdn.wpsstatic.com/images/full/dcf7-572a528a53301.jpg", "http://cdn.wpsstatic.com/images/full/dcf7-572a528a53301.jpg")</f>
        <v>http://cdn.wpsstatic.com/images/full/dcf7-572a528a53301.jpg</v>
      </c>
      <c r="B2305" s="5" t="s">
        <v>2305</v>
      </c>
    </row>
    <row r="2306" spans="1:2" x14ac:dyDescent="0.2">
      <c r="A2306" s="4" t="str">
        <f>HYPERLINK("http://cdn.wpsstatic.com/images/full/dcfc-572a54d6e553f.jpg", "http://cdn.wpsstatic.com/images/full/dcfc-572a54d6e553f.jpg")</f>
        <v>http://cdn.wpsstatic.com/images/full/dcfc-572a54d6e553f.jpg</v>
      </c>
      <c r="B2306" s="5" t="s">
        <v>2306</v>
      </c>
    </row>
    <row r="2307" spans="1:2" x14ac:dyDescent="0.2">
      <c r="A2307" s="4" t="str">
        <f>HYPERLINK("http://cdn.wpsstatic.com/images/full/dd18-572a544075ce6.jpg", "http://cdn.wpsstatic.com/images/full/dd18-572a544075ce6.jpg")</f>
        <v>http://cdn.wpsstatic.com/images/full/dd18-572a544075ce6.jpg</v>
      </c>
      <c r="B2307" s="5" t="s">
        <v>2307</v>
      </c>
    </row>
    <row r="2308" spans="1:2" x14ac:dyDescent="0.2">
      <c r="A2308" s="4" t="str">
        <f>HYPERLINK("http://cdn.wpsstatic.com/images/full/dd28-5d028cbff3612.jpg", "http://cdn.wpsstatic.com/images/full/dd28-5d028cbff3612.jpg")</f>
        <v>http://cdn.wpsstatic.com/images/full/dd28-5d028cbff3612.jpg</v>
      </c>
      <c r="B2308" s="5" t="s">
        <v>2308</v>
      </c>
    </row>
    <row r="2309" spans="1:2" x14ac:dyDescent="0.2">
      <c r="A2309" s="4" t="str">
        <f>HYPERLINK("http://cdn.wpsstatic.com/images/full/dd47-572a545c78243.jpg", "http://cdn.wpsstatic.com/images/full/dd47-572a545c78243.jpg")</f>
        <v>http://cdn.wpsstatic.com/images/full/dd47-572a545c78243.jpg</v>
      </c>
      <c r="B2309" s="5" t="s">
        <v>2309</v>
      </c>
    </row>
    <row r="2310" spans="1:2" x14ac:dyDescent="0.2">
      <c r="A2310" s="4" t="str">
        <f>HYPERLINK("http://cdn.wpsstatic.com/images/full/dd4c-5e023a96dd1cc.jpg", "http://cdn.wpsstatic.com/images/full/dd4c-5e023a96dd1cc.jpg")</f>
        <v>http://cdn.wpsstatic.com/images/full/dd4c-5e023a96dd1cc.jpg</v>
      </c>
      <c r="B2310" s="5" t="s">
        <v>2310</v>
      </c>
    </row>
    <row r="2311" spans="1:2" x14ac:dyDescent="0.2">
      <c r="A2311" s="4" t="str">
        <f>HYPERLINK("http://cdn.wpsstatic.com/images/full/dda2-572a562d0572a.jpg", "http://cdn.wpsstatic.com/images/full/dda2-572a562d0572a.jpg")</f>
        <v>http://cdn.wpsstatic.com/images/full/dda2-572a562d0572a.jpg</v>
      </c>
      <c r="B2311" s="5" t="s">
        <v>2311</v>
      </c>
    </row>
    <row r="2312" spans="1:2" x14ac:dyDescent="0.2">
      <c r="A2312" s="4" t="str">
        <f>HYPERLINK("http://cdn.wpsstatic.com/images/full/ddb0-572a5461267fb.jpg", "http://cdn.wpsstatic.com/images/full/ddb0-572a5461267fb.jpg")</f>
        <v>http://cdn.wpsstatic.com/images/full/ddb0-572a5461267fb.jpg</v>
      </c>
      <c r="B2312" s="5" t="s">
        <v>2312</v>
      </c>
    </row>
    <row r="2313" spans="1:2" x14ac:dyDescent="0.2">
      <c r="A2313" s="4" t="str">
        <f>HYPERLINK("http://cdn.wpsstatic.com/images/full/ddcd-572a5507d31c7.jpg", "http://cdn.wpsstatic.com/images/full/ddcd-572a5507d31c7.jpg")</f>
        <v>http://cdn.wpsstatic.com/images/full/ddcd-572a5507d31c7.jpg</v>
      </c>
      <c r="B2313" s="5" t="s">
        <v>2313</v>
      </c>
    </row>
    <row r="2314" spans="1:2" x14ac:dyDescent="0.2">
      <c r="A2314" s="4" t="str">
        <f>HYPERLINK("http://cdn.wpsstatic.com/images/full/ddd2-572a53928e51c.jpg", "http://cdn.wpsstatic.com/images/full/ddd2-572a53928e51c.jpg")</f>
        <v>http://cdn.wpsstatic.com/images/full/ddd2-572a53928e51c.jpg</v>
      </c>
      <c r="B2314" s="5" t="s">
        <v>2314</v>
      </c>
    </row>
    <row r="2315" spans="1:2" x14ac:dyDescent="0.2">
      <c r="A2315" s="4" t="str">
        <f>HYPERLINK("http://cdn.wpsstatic.com/images/full/dde3-572a559498a73.jpg", "http://cdn.wpsstatic.com/images/full/dde3-572a559498a73.jpg")</f>
        <v>http://cdn.wpsstatic.com/images/full/dde3-572a559498a73.jpg</v>
      </c>
      <c r="B2315" s="5" t="s">
        <v>2315</v>
      </c>
    </row>
    <row r="2316" spans="1:2" x14ac:dyDescent="0.2">
      <c r="A2316" s="4" t="str">
        <f>HYPERLINK("http://cdn.wpsstatic.com/images/full/dde7-5d0295924a5fe.jpg", "http://cdn.wpsstatic.com/images/full/dde7-5d0295924a5fe.jpg")</f>
        <v>http://cdn.wpsstatic.com/images/full/dde7-5d0295924a5fe.jpg</v>
      </c>
      <c r="B2316" s="5" t="s">
        <v>2316</v>
      </c>
    </row>
    <row r="2317" spans="1:2" x14ac:dyDescent="0.2">
      <c r="A2317" s="4" t="str">
        <f>HYPERLINK("http://cdn.wpsstatic.com/images/full/ddee-5d029e90ae099.jpg", "http://cdn.wpsstatic.com/images/full/ddee-5d029e90ae099.jpg")</f>
        <v>http://cdn.wpsstatic.com/images/full/ddee-5d029e90ae099.jpg</v>
      </c>
      <c r="B2317" s="5" t="s">
        <v>2317</v>
      </c>
    </row>
    <row r="2318" spans="1:2" x14ac:dyDescent="0.2">
      <c r="A2318" s="4" t="str">
        <f>HYPERLINK("http://cdn.wpsstatic.com/images/full/ddfc-5fb4571d7ad62.jpg", "http://cdn.wpsstatic.com/images/full/ddfc-5fb4571d7ad62.jpg")</f>
        <v>http://cdn.wpsstatic.com/images/full/ddfc-5fb4571d7ad62.jpg</v>
      </c>
      <c r="B2318" s="5" t="s">
        <v>2318</v>
      </c>
    </row>
    <row r="2319" spans="1:2" x14ac:dyDescent="0.2">
      <c r="A2319" s="4" t="str">
        <f>HYPERLINK("http://cdn.wpsstatic.com/images/full/de04-5d0293f049a0f.jpg", "http://cdn.wpsstatic.com/images/full/de04-5d0293f049a0f.jpg")</f>
        <v>http://cdn.wpsstatic.com/images/full/de04-5d0293f049a0f.jpg</v>
      </c>
      <c r="B2319" s="5" t="s">
        <v>2319</v>
      </c>
    </row>
    <row r="2320" spans="1:2" x14ac:dyDescent="0.2">
      <c r="A2320" s="4" t="str">
        <f>HYPERLINK("http://cdn.wpsstatic.com/images/full/de08-572a5555b77c5.jpg", "http://cdn.wpsstatic.com/images/full/de08-572a5555b77c5.jpg")</f>
        <v>http://cdn.wpsstatic.com/images/full/de08-572a5555b77c5.jpg</v>
      </c>
      <c r="B2320" s="5" t="s">
        <v>2320</v>
      </c>
    </row>
    <row r="2321" spans="1:2" x14ac:dyDescent="0.2">
      <c r="A2321" s="4" t="str">
        <f>HYPERLINK("http://cdn.wpsstatic.com/images/full/de18-572a551be2cc0.jpg", "http://cdn.wpsstatic.com/images/full/de18-572a551be2cc0.jpg")</f>
        <v>http://cdn.wpsstatic.com/images/full/de18-572a551be2cc0.jpg</v>
      </c>
      <c r="B2321" s="5" t="s">
        <v>2321</v>
      </c>
    </row>
    <row r="2322" spans="1:2" x14ac:dyDescent="0.2">
      <c r="A2322" s="4" t="str">
        <f>HYPERLINK("http://cdn.wpsstatic.com/images/full/de2c-572a53bec6316.jpg", "http://cdn.wpsstatic.com/images/full/de2c-572a53bec6316.jpg")</f>
        <v>http://cdn.wpsstatic.com/images/full/de2c-572a53bec6316.jpg</v>
      </c>
      <c r="B2322" s="5" t="s">
        <v>2322</v>
      </c>
    </row>
    <row r="2323" spans="1:2" x14ac:dyDescent="0.2">
      <c r="A2323" s="4" t="str">
        <f>HYPERLINK("http://cdn.wpsstatic.com/images/full/de36-572a54d927fe1.jpg", "http://cdn.wpsstatic.com/images/full/de36-572a54d927fe1.jpg")</f>
        <v>http://cdn.wpsstatic.com/images/full/de36-572a54d927fe1.jpg</v>
      </c>
      <c r="B2323" s="5" t="s">
        <v>2323</v>
      </c>
    </row>
    <row r="2324" spans="1:2" x14ac:dyDescent="0.2">
      <c r="A2324" s="4" t="str">
        <f>HYPERLINK("http://cdn.wpsstatic.com/images/full/de36-572a54d927fe1.jpg", "http://cdn.wpsstatic.com/images/full/de36-572a54d927fe1.jpg")</f>
        <v>http://cdn.wpsstatic.com/images/full/de36-572a54d927fe1.jpg</v>
      </c>
      <c r="B2324" s="5" t="s">
        <v>2324</v>
      </c>
    </row>
    <row r="2325" spans="1:2" x14ac:dyDescent="0.2">
      <c r="A2325" s="4" t="str">
        <f>HYPERLINK("http://cdn.wpsstatic.com/images/full/de48-5f32a715a180f.jpg", "http://cdn.wpsstatic.com/images/full/de48-5f32a715a180f.jpg")</f>
        <v>http://cdn.wpsstatic.com/images/full/de48-5f32a715a180f.jpg</v>
      </c>
      <c r="B2325" s="5" t="s">
        <v>2325</v>
      </c>
    </row>
    <row r="2326" spans="1:2" x14ac:dyDescent="0.2">
      <c r="A2326" s="4" t="str">
        <f>HYPERLINK("http://cdn.wpsstatic.com/images/full/de5f-572a5637b0230.jpg", "http://cdn.wpsstatic.com/images/full/de5f-572a5637b0230.jpg")</f>
        <v>http://cdn.wpsstatic.com/images/full/de5f-572a5637b0230.jpg</v>
      </c>
      <c r="B2326" s="5" t="s">
        <v>2326</v>
      </c>
    </row>
    <row r="2327" spans="1:2" x14ac:dyDescent="0.2">
      <c r="A2327" s="4" t="str">
        <f>HYPERLINK("http://cdn.wpsstatic.com/images/full/de67-572a53aabc80c.jpg", "http://cdn.wpsstatic.com/images/full/de67-572a53aabc80c.jpg")</f>
        <v>http://cdn.wpsstatic.com/images/full/de67-572a53aabc80c.jpg</v>
      </c>
      <c r="B2327" s="5" t="s">
        <v>2327</v>
      </c>
    </row>
    <row r="2328" spans="1:2" x14ac:dyDescent="0.2">
      <c r="A2328" s="4" t="str">
        <f>HYPERLINK("http://cdn.wpsstatic.com/images/full/deab-572a537f6dabe.jpg", "http://cdn.wpsstatic.com/images/full/deab-572a537f6dabe.jpg")</f>
        <v>http://cdn.wpsstatic.com/images/full/deab-572a537f6dabe.jpg</v>
      </c>
      <c r="B2328" s="5" t="s">
        <v>2328</v>
      </c>
    </row>
    <row r="2329" spans="1:2" x14ac:dyDescent="0.2">
      <c r="A2329" s="4" t="str">
        <f>HYPERLINK("http://cdn.wpsstatic.com/images/full/deca-572a53b470c7d.jpg", "http://cdn.wpsstatic.com/images/full/deca-572a53b470c7d.jpg")</f>
        <v>http://cdn.wpsstatic.com/images/full/deca-572a53b470c7d.jpg</v>
      </c>
      <c r="B2329" s="5" t="s">
        <v>2329</v>
      </c>
    </row>
    <row r="2330" spans="1:2" x14ac:dyDescent="0.2">
      <c r="A2330" s="4" t="str">
        <f>HYPERLINK("http://cdn.wpsstatic.com/images/full/ded7-572a54538bad3.jpg", "http://cdn.wpsstatic.com/images/full/ded7-572a54538bad3.jpg")</f>
        <v>http://cdn.wpsstatic.com/images/full/ded7-572a54538bad3.jpg</v>
      </c>
      <c r="B2330" s="5" t="s">
        <v>2330</v>
      </c>
    </row>
    <row r="2331" spans="1:2" x14ac:dyDescent="0.2">
      <c r="A2331" s="4" t="str">
        <f>HYPERLINK("http://cdn.wpsstatic.com/images/full/dee0-572a53e6e6656.jpg", "http://cdn.wpsstatic.com/images/full/dee0-572a53e6e6656.jpg")</f>
        <v>http://cdn.wpsstatic.com/images/full/dee0-572a53e6e6656.jpg</v>
      </c>
      <c r="B2331" s="5" t="s">
        <v>2331</v>
      </c>
    </row>
    <row r="2332" spans="1:2" x14ac:dyDescent="0.2">
      <c r="A2332" s="4" t="str">
        <f>HYPERLINK("http://cdn.wpsstatic.com/images/full/df12-572a529c43d1b.jpg", "http://cdn.wpsstatic.com/images/full/df12-572a529c43d1b.jpg")</f>
        <v>http://cdn.wpsstatic.com/images/full/df12-572a529c43d1b.jpg</v>
      </c>
      <c r="B2332" s="5" t="s">
        <v>2332</v>
      </c>
    </row>
    <row r="2333" spans="1:2" x14ac:dyDescent="0.2">
      <c r="A2333" s="4" t="str">
        <f>HYPERLINK("http://cdn.wpsstatic.com/images/full/df3c-572a52add1976.jpg", "http://cdn.wpsstatic.com/images/full/df3c-572a52add1976.jpg")</f>
        <v>http://cdn.wpsstatic.com/images/full/df3c-572a52add1976.jpg</v>
      </c>
      <c r="B2333" s="5" t="s">
        <v>2333</v>
      </c>
    </row>
    <row r="2334" spans="1:2" x14ac:dyDescent="0.2">
      <c r="A2334" s="4" t="str">
        <f>HYPERLINK("http://cdn.wpsstatic.com/images/full/df62-60a6aa3e8464a.png", "http://cdn.wpsstatic.com/images/full/df62-60a6aa3e8464a.png")</f>
        <v>http://cdn.wpsstatic.com/images/full/df62-60a6aa3e8464a.png</v>
      </c>
      <c r="B2334" s="5" t="s">
        <v>2334</v>
      </c>
    </row>
    <row r="2335" spans="1:2" x14ac:dyDescent="0.2">
      <c r="A2335" s="4" t="str">
        <f>HYPERLINK("http://cdn.wpsstatic.com/images/full/df86-572a5304097f5.jpg", "http://cdn.wpsstatic.com/images/full/df86-572a5304097f5.jpg")</f>
        <v>http://cdn.wpsstatic.com/images/full/df86-572a5304097f5.jpg</v>
      </c>
      <c r="B2335" s="5" t="s">
        <v>2335</v>
      </c>
    </row>
    <row r="2336" spans="1:2" x14ac:dyDescent="0.2">
      <c r="A2336" s="4" t="str">
        <f>HYPERLINK("http://cdn.wpsstatic.com/images/full/dfa2-572a5336c7a51.jpg", "http://cdn.wpsstatic.com/images/full/dfa2-572a5336c7a51.jpg")</f>
        <v>http://cdn.wpsstatic.com/images/full/dfa2-572a5336c7a51.jpg</v>
      </c>
      <c r="B2336" s="5" t="s">
        <v>2336</v>
      </c>
    </row>
    <row r="2337" spans="1:2" x14ac:dyDescent="0.2">
      <c r="A2337" s="4" t="str">
        <f>HYPERLINK("http://cdn.wpsstatic.com/images/full/dfaa-572a526d3baaa.jpg", "http://cdn.wpsstatic.com/images/full/dfaa-572a526d3baaa.jpg")</f>
        <v>http://cdn.wpsstatic.com/images/full/dfaa-572a526d3baaa.jpg</v>
      </c>
      <c r="B2337" s="5" t="s">
        <v>2337</v>
      </c>
    </row>
    <row r="2338" spans="1:2" x14ac:dyDescent="0.2">
      <c r="A2338" s="4" t="str">
        <f>HYPERLINK("http://cdn.wpsstatic.com/images/full/dfb8-572a52bc5fa6f.jpg", "http://cdn.wpsstatic.com/images/full/dfb8-572a52bc5fa6f.jpg")</f>
        <v>http://cdn.wpsstatic.com/images/full/dfb8-572a52bc5fa6f.jpg</v>
      </c>
      <c r="B2338" s="5" t="s">
        <v>2338</v>
      </c>
    </row>
    <row r="2339" spans="1:2" x14ac:dyDescent="0.2">
      <c r="A2339" s="4" t="str">
        <f>HYPERLINK("http://cdn.wpsstatic.com/images/full/dfc6-5885c1eebfbd8.jpg", "http://cdn.wpsstatic.com/images/full/dfc6-5885c1eebfbd8.jpg")</f>
        <v>http://cdn.wpsstatic.com/images/full/dfc6-5885c1eebfbd8.jpg</v>
      </c>
      <c r="B2339" s="5" t="s">
        <v>2339</v>
      </c>
    </row>
    <row r="2340" spans="1:2" x14ac:dyDescent="0.2">
      <c r="A2340" s="4" t="str">
        <f>HYPERLINK("http://cdn.wpsstatic.com/images/full/dfcd-572a53277149d.jpg", "http://cdn.wpsstatic.com/images/full/dfcd-572a53277149d.jpg")</f>
        <v>http://cdn.wpsstatic.com/images/full/dfcd-572a53277149d.jpg</v>
      </c>
      <c r="B2340" s="5" t="s">
        <v>2340</v>
      </c>
    </row>
    <row r="2341" spans="1:2" x14ac:dyDescent="0.2">
      <c r="A2341" s="4" t="str">
        <f>HYPERLINK("http://cdn.wpsstatic.com/images/full/dfd2-572a542b6abba.jpg", "http://cdn.wpsstatic.com/images/full/dfd2-572a542b6abba.jpg")</f>
        <v>http://cdn.wpsstatic.com/images/full/dfd2-572a542b6abba.jpg</v>
      </c>
      <c r="B2341" s="5" t="s">
        <v>2341</v>
      </c>
    </row>
    <row r="2342" spans="1:2" x14ac:dyDescent="0.2">
      <c r="A2342" s="4" t="str">
        <f>HYPERLINK("http://cdn.wpsstatic.com/images/full/e01c-600ed9e817b4f.jpg", "http://cdn.wpsstatic.com/images/full/e01c-600ed9e817b4f.jpg")</f>
        <v>http://cdn.wpsstatic.com/images/full/e01c-600ed9e817b4f.jpg</v>
      </c>
      <c r="B2342" s="5" t="s">
        <v>2342</v>
      </c>
    </row>
    <row r="2343" spans="1:2" x14ac:dyDescent="0.2">
      <c r="A2343" s="4" t="str">
        <f>HYPERLINK("http://cdn.wpsstatic.com/images/full/e05f-5d0291827c2bd.jpg", "http://cdn.wpsstatic.com/images/full/e05f-5d0291827c2bd.jpg")</f>
        <v>http://cdn.wpsstatic.com/images/full/e05f-5d0291827c2bd.jpg</v>
      </c>
      <c r="B2343" s="5" t="s">
        <v>2343</v>
      </c>
    </row>
    <row r="2344" spans="1:2" x14ac:dyDescent="0.2">
      <c r="A2344" s="4" t="str">
        <f>HYPERLINK("http://cdn.wpsstatic.com/images/full/e06d-572a559384869.jpg", "http://cdn.wpsstatic.com/images/full/e06d-572a559384869.jpg")</f>
        <v>http://cdn.wpsstatic.com/images/full/e06d-572a559384869.jpg</v>
      </c>
      <c r="B2344" s="5" t="s">
        <v>2344</v>
      </c>
    </row>
    <row r="2345" spans="1:2" x14ac:dyDescent="0.2">
      <c r="A2345" s="4" t="str">
        <f>HYPERLINK("http://cdn.wpsstatic.com/images/full/e0a5-572a53f640ab4.jpg", "http://cdn.wpsstatic.com/images/full/e0a5-572a53f640ab4.jpg")</f>
        <v>http://cdn.wpsstatic.com/images/full/e0a5-572a53f640ab4.jpg</v>
      </c>
      <c r="B2345" s="5" t="s">
        <v>2345</v>
      </c>
    </row>
    <row r="2346" spans="1:2" x14ac:dyDescent="0.2">
      <c r="A2346" s="4" t="str">
        <f>HYPERLINK("http://cdn.wpsstatic.com/images/full/e0af-5d0290a038b8d.jpg", "http://cdn.wpsstatic.com/images/full/e0af-5d0290a038b8d.jpg")</f>
        <v>http://cdn.wpsstatic.com/images/full/e0af-5d0290a038b8d.jpg</v>
      </c>
      <c r="B2346" s="5" t="s">
        <v>2346</v>
      </c>
    </row>
    <row r="2347" spans="1:2" x14ac:dyDescent="0.2">
      <c r="A2347" s="4" t="str">
        <f>HYPERLINK("http://cdn.wpsstatic.com/images/full/e0c1-5d02919c8b8a8.jpg", "http://cdn.wpsstatic.com/images/full/e0c1-5d02919c8b8a8.jpg")</f>
        <v>http://cdn.wpsstatic.com/images/full/e0c1-5d02919c8b8a8.jpg</v>
      </c>
      <c r="B2347" s="5" t="s">
        <v>2347</v>
      </c>
    </row>
    <row r="2348" spans="1:2" x14ac:dyDescent="0.2">
      <c r="A2348" s="4" t="str">
        <f>HYPERLINK("http://cdn.wpsstatic.com/images/full/e119-572a559759471.jpg", "http://cdn.wpsstatic.com/images/full/e119-572a559759471.jpg")</f>
        <v>http://cdn.wpsstatic.com/images/full/e119-572a559759471.jpg</v>
      </c>
      <c r="B2348" s="5" t="s">
        <v>2348</v>
      </c>
    </row>
    <row r="2349" spans="1:2" x14ac:dyDescent="0.2">
      <c r="A2349" s="4" t="str">
        <f>HYPERLINK("http://cdn.wpsstatic.com/images/full/e14c-572a548bb77df.jpg", "http://cdn.wpsstatic.com/images/full/e14c-572a548bb77df.jpg")</f>
        <v>http://cdn.wpsstatic.com/images/full/e14c-572a548bb77df.jpg</v>
      </c>
      <c r="B2349" s="5" t="s">
        <v>2349</v>
      </c>
    </row>
    <row r="2350" spans="1:2" x14ac:dyDescent="0.2">
      <c r="A2350" s="4" t="str">
        <f>HYPERLINK("http://cdn.wpsstatic.com/images/full/e15f-5f5781992d8a7.jpg", "http://cdn.wpsstatic.com/images/full/e15f-5f5781992d8a7.jpg")</f>
        <v>http://cdn.wpsstatic.com/images/full/e15f-5f5781992d8a7.jpg</v>
      </c>
      <c r="B2350" s="5" t="s">
        <v>2350</v>
      </c>
    </row>
    <row r="2351" spans="1:2" x14ac:dyDescent="0.2">
      <c r="A2351" s="4" t="str">
        <f>HYPERLINK("http://cdn.wpsstatic.com/images/full/e19d-572a552fecc49.jpg", "http://cdn.wpsstatic.com/images/full/e19d-572a552fecc49.jpg")</f>
        <v>http://cdn.wpsstatic.com/images/full/e19d-572a552fecc49.jpg</v>
      </c>
      <c r="B2351" s="5" t="s">
        <v>2351</v>
      </c>
    </row>
    <row r="2352" spans="1:2" x14ac:dyDescent="0.2">
      <c r="A2352" s="4" t="str">
        <f>HYPERLINK("http://cdn.wpsstatic.com/images/full/e1ac-572a5402613c4.jpg", "http://cdn.wpsstatic.com/images/full/e1ac-572a5402613c4.jpg")</f>
        <v>http://cdn.wpsstatic.com/images/full/e1ac-572a5402613c4.jpg</v>
      </c>
      <c r="B2352" s="5" t="s">
        <v>2352</v>
      </c>
    </row>
    <row r="2353" spans="1:2" x14ac:dyDescent="0.2">
      <c r="A2353" s="4" t="str">
        <f>HYPERLINK("http://cdn.wpsstatic.com/images/full/e1ad-572a5256dc2f0.jpg", "http://cdn.wpsstatic.com/images/full/e1ad-572a5256dc2f0.jpg")</f>
        <v>http://cdn.wpsstatic.com/images/full/e1ad-572a5256dc2f0.jpg</v>
      </c>
      <c r="B2353" s="5" t="s">
        <v>2353</v>
      </c>
    </row>
    <row r="2354" spans="1:2" x14ac:dyDescent="0.2">
      <c r="A2354" s="4" t="str">
        <f>HYPERLINK("http://cdn.wpsstatic.com/images/full/e1df-572a5629cea3e.jpg", "http://cdn.wpsstatic.com/images/full/e1df-572a5629cea3e.jpg")</f>
        <v>http://cdn.wpsstatic.com/images/full/e1df-572a5629cea3e.jpg</v>
      </c>
      <c r="B2354" s="5" t="s">
        <v>2354</v>
      </c>
    </row>
    <row r="2355" spans="1:2" x14ac:dyDescent="0.2">
      <c r="A2355" s="4" t="str">
        <f>HYPERLINK("http://cdn.wpsstatic.com/images/full/e203-60abb4d77dc3d.png", "http://cdn.wpsstatic.com/images/full/e203-60abb4d77dc3d.png")</f>
        <v>http://cdn.wpsstatic.com/images/full/e203-60abb4d77dc3d.png</v>
      </c>
      <c r="B2355" s="5" t="s">
        <v>2355</v>
      </c>
    </row>
    <row r="2356" spans="1:2" x14ac:dyDescent="0.2">
      <c r="A2356" s="4" t="str">
        <f>HYPERLINK("http://cdn.wpsstatic.com/images/full/e218-572a535f0ac35.jpg", "http://cdn.wpsstatic.com/images/full/e218-572a535f0ac35.jpg")</f>
        <v>http://cdn.wpsstatic.com/images/full/e218-572a535f0ac35.jpg</v>
      </c>
      <c r="B2356" s="5" t="s">
        <v>2356</v>
      </c>
    </row>
    <row r="2357" spans="1:2" x14ac:dyDescent="0.2">
      <c r="A2357" s="4" t="str">
        <f>HYPERLINK("http://cdn.wpsstatic.com/images/full/e21f-5d028f2148707.jpg", "http://cdn.wpsstatic.com/images/full/e21f-5d028f2148707.jpg")</f>
        <v>http://cdn.wpsstatic.com/images/full/e21f-5d028f2148707.jpg</v>
      </c>
      <c r="B2357" s="5" t="s">
        <v>2357</v>
      </c>
    </row>
    <row r="2358" spans="1:2" x14ac:dyDescent="0.2">
      <c r="A2358" s="4" t="str">
        <f>HYPERLINK("http://cdn.wpsstatic.com/images/full/e23c-5885c1cd9f791.jpg", "http://cdn.wpsstatic.com/images/full/e23c-5885c1cd9f791.jpg")</f>
        <v>http://cdn.wpsstatic.com/images/full/e23c-5885c1cd9f791.jpg</v>
      </c>
      <c r="B2358" s="5" t="s">
        <v>2358</v>
      </c>
    </row>
    <row r="2359" spans="1:2" x14ac:dyDescent="0.2">
      <c r="A2359" s="4" t="str">
        <f>HYPERLINK("http://cdn.wpsstatic.com/images/full/e2b0-5f57bb8f1bac1.jpg", "http://cdn.wpsstatic.com/images/full/e2b0-5f57bb8f1bac1.jpg")</f>
        <v>http://cdn.wpsstatic.com/images/full/e2b0-5f57bb8f1bac1.jpg</v>
      </c>
      <c r="B2359" s="5" t="s">
        <v>2359</v>
      </c>
    </row>
    <row r="2360" spans="1:2" x14ac:dyDescent="0.2">
      <c r="A2360" s="4" t="str">
        <f>HYPERLINK("http://cdn.wpsstatic.com/images/full/e2b3-572a55425383d.jpg", "http://cdn.wpsstatic.com/images/full/e2b3-572a55425383d.jpg")</f>
        <v>http://cdn.wpsstatic.com/images/full/e2b3-572a55425383d.jpg</v>
      </c>
      <c r="B2360" s="5" t="s">
        <v>2360</v>
      </c>
    </row>
    <row r="2361" spans="1:2" x14ac:dyDescent="0.2">
      <c r="A2361" s="4" t="str">
        <f>HYPERLINK("http://cdn.wpsstatic.com/images/full/e2c0-572a53d17df3a.jpg", "http://cdn.wpsstatic.com/images/full/e2c0-572a53d17df3a.jpg")</f>
        <v>http://cdn.wpsstatic.com/images/full/e2c0-572a53d17df3a.jpg</v>
      </c>
      <c r="B2361" s="5" t="s">
        <v>2361</v>
      </c>
    </row>
    <row r="2362" spans="1:2" x14ac:dyDescent="0.2">
      <c r="A2362" s="4" t="str">
        <f>HYPERLINK("http://cdn.wpsstatic.com/images/full/e2f5-572a54307000a.jpg", "http://cdn.wpsstatic.com/images/full/e2f5-572a54307000a.jpg")</f>
        <v>http://cdn.wpsstatic.com/images/full/e2f5-572a54307000a.jpg</v>
      </c>
      <c r="B2362" s="5" t="s">
        <v>2362</v>
      </c>
    </row>
    <row r="2363" spans="1:2" x14ac:dyDescent="0.2">
      <c r="A2363" s="4" t="str">
        <f>HYPERLINK("http://cdn.wpsstatic.com/images/full/e32c-5d1684b73f30e.jpg", "http://cdn.wpsstatic.com/images/full/e32c-5d1684b73f30e.jpg")</f>
        <v>http://cdn.wpsstatic.com/images/full/e32c-5d1684b73f30e.jpg</v>
      </c>
      <c r="B2363" s="5" t="s">
        <v>2363</v>
      </c>
    </row>
    <row r="2364" spans="1:2" x14ac:dyDescent="0.2">
      <c r="A2364" s="4" t="str">
        <f>HYPERLINK("http://cdn.wpsstatic.com/images/full/e32f-572a5353b507c.jpg", "http://cdn.wpsstatic.com/images/full/e32f-572a5353b507c.jpg")</f>
        <v>http://cdn.wpsstatic.com/images/full/e32f-572a5353b507c.jpg</v>
      </c>
      <c r="B2364" s="5" t="s">
        <v>2364</v>
      </c>
    </row>
    <row r="2365" spans="1:2" x14ac:dyDescent="0.2">
      <c r="A2365" s="4" t="str">
        <f>HYPERLINK("http://cdn.wpsstatic.com/images/full/e331-572a524f58941.jpg", "http://cdn.wpsstatic.com/images/full/e331-572a524f58941.jpg")</f>
        <v>http://cdn.wpsstatic.com/images/full/e331-572a524f58941.jpg</v>
      </c>
      <c r="B2365" s="5" t="s">
        <v>2365</v>
      </c>
    </row>
    <row r="2366" spans="1:2" x14ac:dyDescent="0.2">
      <c r="A2366" s="4" t="str">
        <f>HYPERLINK("http://cdn.wpsstatic.com/images/full/e351-5d1684c25edeb.jpg", "http://cdn.wpsstatic.com/images/full/e351-5d1684c25edeb.jpg")</f>
        <v>http://cdn.wpsstatic.com/images/full/e351-5d1684c25edeb.jpg</v>
      </c>
      <c r="B2366" s="5" t="s">
        <v>2366</v>
      </c>
    </row>
    <row r="2367" spans="1:2" x14ac:dyDescent="0.2">
      <c r="A2367" s="4" t="str">
        <f>HYPERLINK("http://cdn.wpsstatic.com/images/full/e36d-5fb845bd4ceaa.jpg", "http://cdn.wpsstatic.com/images/full/e36d-5fb845bd4ceaa.jpg")</f>
        <v>http://cdn.wpsstatic.com/images/full/e36d-5fb845bd4ceaa.jpg</v>
      </c>
      <c r="B2367" s="5" t="s">
        <v>2367</v>
      </c>
    </row>
    <row r="2368" spans="1:2" x14ac:dyDescent="0.2">
      <c r="A2368" s="4" t="str">
        <f>HYPERLINK("http://cdn.wpsstatic.com/images/full/e386-572a53676a174.jpg", "http://cdn.wpsstatic.com/images/full/e386-572a53676a174.jpg")</f>
        <v>http://cdn.wpsstatic.com/images/full/e386-572a53676a174.jpg</v>
      </c>
      <c r="B2368" s="5" t="s">
        <v>2368</v>
      </c>
    </row>
    <row r="2369" spans="1:2" x14ac:dyDescent="0.2">
      <c r="A2369" s="4" t="str">
        <f>HYPERLINK("http://cdn.wpsstatic.com/images/full/e39e-5885c2076a3b8.jpg", "http://cdn.wpsstatic.com/images/full/e39e-5885c2076a3b8.jpg")</f>
        <v>http://cdn.wpsstatic.com/images/full/e39e-5885c2076a3b8.jpg</v>
      </c>
      <c r="B2369" s="5" t="s">
        <v>2369</v>
      </c>
    </row>
    <row r="2370" spans="1:2" x14ac:dyDescent="0.2">
      <c r="A2370" s="4" t="str">
        <f>HYPERLINK("http://cdn.wpsstatic.com/images/full/e3a5-5d1684ee216fc.jpg", "http://cdn.wpsstatic.com/images/full/e3a5-5d1684ee216fc.jpg")</f>
        <v>http://cdn.wpsstatic.com/images/full/e3a5-5d1684ee216fc.jpg</v>
      </c>
      <c r="B2370" s="5" t="s">
        <v>2370</v>
      </c>
    </row>
    <row r="2371" spans="1:2" x14ac:dyDescent="0.2">
      <c r="A2371" s="4" t="str">
        <f>HYPERLINK("http://cdn.wpsstatic.com/images/full/e3d3-572a562b6b8af.jpg", "http://cdn.wpsstatic.com/images/full/e3d3-572a562b6b8af.jpg")</f>
        <v>http://cdn.wpsstatic.com/images/full/e3d3-572a562b6b8af.jpg</v>
      </c>
      <c r="B2371" s="5" t="s">
        <v>2371</v>
      </c>
    </row>
    <row r="2372" spans="1:2" x14ac:dyDescent="0.2">
      <c r="A2372" s="4" t="str">
        <f>HYPERLINK("http://cdn.wpsstatic.com/images/full/e3d9-572a563fcf563.jpg", "http://cdn.wpsstatic.com/images/full/e3d9-572a563fcf563.jpg")</f>
        <v>http://cdn.wpsstatic.com/images/full/e3d9-572a563fcf563.jpg</v>
      </c>
      <c r="B2372" s="5" t="s">
        <v>2372</v>
      </c>
    </row>
    <row r="2373" spans="1:2" x14ac:dyDescent="0.2">
      <c r="A2373" s="4" t="str">
        <f>HYPERLINK("http://cdn.wpsstatic.com/images/full/e3f0-572a54c37a16e.jpg", "http://cdn.wpsstatic.com/images/full/e3f0-572a54c37a16e.jpg")</f>
        <v>http://cdn.wpsstatic.com/images/full/e3f0-572a54c37a16e.jpg</v>
      </c>
      <c r="B2373" s="5" t="s">
        <v>2373</v>
      </c>
    </row>
    <row r="2374" spans="1:2" x14ac:dyDescent="0.2">
      <c r="A2374" s="4" t="str">
        <f>HYPERLINK("http://cdn.wpsstatic.com/images/full/e3f2-572a535d48466.jpg", "http://cdn.wpsstatic.com/images/full/e3f2-572a535d48466.jpg")</f>
        <v>http://cdn.wpsstatic.com/images/full/e3f2-572a535d48466.jpg</v>
      </c>
      <c r="B2374" s="5" t="s">
        <v>2374</v>
      </c>
    </row>
    <row r="2375" spans="1:2" x14ac:dyDescent="0.2">
      <c r="A2375" s="4" t="str">
        <f>HYPERLINK("http://cdn.wpsstatic.com/images/full/e400-5f32a48e83da9.jpg", "http://cdn.wpsstatic.com/images/full/e400-5f32a48e83da9.jpg")</f>
        <v>http://cdn.wpsstatic.com/images/full/e400-5f32a48e83da9.jpg</v>
      </c>
      <c r="B2375" s="5" t="s">
        <v>2375</v>
      </c>
    </row>
    <row r="2376" spans="1:2" x14ac:dyDescent="0.2">
      <c r="A2376" s="4" t="str">
        <f>HYPERLINK("http://cdn.wpsstatic.com/images/full/e438-5d0293330793c.jpg", "http://cdn.wpsstatic.com/images/full/e438-5d0293330793c.jpg")</f>
        <v>http://cdn.wpsstatic.com/images/full/e438-5d0293330793c.jpg</v>
      </c>
      <c r="B2376" s="5" t="s">
        <v>2376</v>
      </c>
    </row>
    <row r="2377" spans="1:2" x14ac:dyDescent="0.2">
      <c r="A2377" s="4" t="str">
        <f>HYPERLINK("http://cdn.wpsstatic.com/images/full/e44e-572a54d80d4cd.jpg", "http://cdn.wpsstatic.com/images/full/e44e-572a54d80d4cd.jpg")</f>
        <v>http://cdn.wpsstatic.com/images/full/e44e-572a54d80d4cd.jpg</v>
      </c>
      <c r="B2377" s="5" t="s">
        <v>2377</v>
      </c>
    </row>
    <row r="2378" spans="1:2" x14ac:dyDescent="0.2">
      <c r="A2378" s="4" t="str">
        <f>HYPERLINK("http://cdn.wpsstatic.com/images/full/e455-572a544e1b517.jpg", "http://cdn.wpsstatic.com/images/full/e455-572a544e1b517.jpg")</f>
        <v>http://cdn.wpsstatic.com/images/full/e455-572a544e1b517.jpg</v>
      </c>
      <c r="B2378" s="5" t="s">
        <v>2378</v>
      </c>
    </row>
    <row r="2379" spans="1:2" x14ac:dyDescent="0.2">
      <c r="A2379" s="4" t="str">
        <f>HYPERLINK("http://cdn.wpsstatic.com/images/full/e457-572a5556b6552.jpg", "http://cdn.wpsstatic.com/images/full/e457-572a5556b6552.jpg")</f>
        <v>http://cdn.wpsstatic.com/images/full/e457-572a5556b6552.jpg</v>
      </c>
      <c r="B2379" s="5" t="s">
        <v>2379</v>
      </c>
    </row>
    <row r="2380" spans="1:2" x14ac:dyDescent="0.2">
      <c r="A2380" s="4" t="str">
        <f>HYPERLINK("http://cdn.wpsstatic.com/images/full/e470-5d029f278f54a.jpg", "http://cdn.wpsstatic.com/images/full/e470-5d029f278f54a.jpg")</f>
        <v>http://cdn.wpsstatic.com/images/full/e470-5d029f278f54a.jpg</v>
      </c>
      <c r="B2380" s="5" t="s">
        <v>2380</v>
      </c>
    </row>
    <row r="2381" spans="1:2" x14ac:dyDescent="0.2">
      <c r="A2381" s="4" t="str">
        <f>HYPERLINK("http://cdn.wpsstatic.com/images/full/e48e-5e023a12053c5.jpg", "http://cdn.wpsstatic.com/images/full/e48e-5e023a12053c5.jpg")</f>
        <v>http://cdn.wpsstatic.com/images/full/e48e-5e023a12053c5.jpg</v>
      </c>
      <c r="B2381" s="5" t="s">
        <v>2381</v>
      </c>
    </row>
    <row r="2382" spans="1:2" x14ac:dyDescent="0.2">
      <c r="A2382" s="4" t="str">
        <f>HYPERLINK("http://cdn.wpsstatic.com/images/full/e49f-5fb44ccb796cd.jpg", "http://cdn.wpsstatic.com/images/full/e49f-5fb44ccb796cd.jpg")</f>
        <v>http://cdn.wpsstatic.com/images/full/e49f-5fb44ccb796cd.jpg</v>
      </c>
      <c r="B2382" s="5" t="s">
        <v>2382</v>
      </c>
    </row>
    <row r="2383" spans="1:2" x14ac:dyDescent="0.2">
      <c r="A2383" s="4" t="str">
        <f>HYPERLINK("http://cdn.wpsstatic.com/images/full/e4a5-572a538c031f2.jpg", "http://cdn.wpsstatic.com/images/full/e4a5-572a538c031f2.jpg")</f>
        <v>http://cdn.wpsstatic.com/images/full/e4a5-572a538c031f2.jpg</v>
      </c>
      <c r="B2383" s="5" t="s">
        <v>2383</v>
      </c>
    </row>
    <row r="2384" spans="1:2" x14ac:dyDescent="0.2">
      <c r="A2384" s="4" t="str">
        <f>HYPERLINK("http://cdn.wpsstatic.com/images/full/e4d4-572a53325a7a2.jpg", "http://cdn.wpsstatic.com/images/full/e4d4-572a53325a7a2.jpg")</f>
        <v>http://cdn.wpsstatic.com/images/full/e4d4-572a53325a7a2.jpg</v>
      </c>
      <c r="B2384" s="5" t="s">
        <v>2384</v>
      </c>
    </row>
    <row r="2385" spans="1:2" x14ac:dyDescent="0.2">
      <c r="A2385" s="4" t="str">
        <f>HYPERLINK("http://cdn.wpsstatic.com/images/full/e4e7-572a54f366985.jpg", "http://cdn.wpsstatic.com/images/full/e4e7-572a54f366985.jpg")</f>
        <v>http://cdn.wpsstatic.com/images/full/e4e7-572a54f366985.jpg</v>
      </c>
      <c r="B2385" s="5" t="s">
        <v>2385</v>
      </c>
    </row>
    <row r="2386" spans="1:2" x14ac:dyDescent="0.2">
      <c r="A2386" s="4" t="str">
        <f>HYPERLINK("http://cdn.wpsstatic.com/images/full/e502-63643b2935ebd.png", "http://cdn.wpsstatic.com/images/full/e502-63643b2935ebd.png")</f>
        <v>http://cdn.wpsstatic.com/images/full/e502-63643b2935ebd.png</v>
      </c>
      <c r="B2386" s="5" t="s">
        <v>2386</v>
      </c>
    </row>
    <row r="2387" spans="1:2" x14ac:dyDescent="0.2">
      <c r="A2387" s="4" t="str">
        <f>HYPERLINK("http://cdn.wpsstatic.com/images/full/e52b-572a54f400cd0.jpg", "http://cdn.wpsstatic.com/images/full/e52b-572a54f400cd0.jpg")</f>
        <v>http://cdn.wpsstatic.com/images/full/e52b-572a54f400cd0.jpg</v>
      </c>
      <c r="B2387" s="5" t="s">
        <v>2387</v>
      </c>
    </row>
    <row r="2388" spans="1:2" x14ac:dyDescent="0.2">
      <c r="A2388" s="4" t="str">
        <f>HYPERLINK("http://cdn.wpsstatic.com/images/full/e55e-572a5398d491b.jpg", "http://cdn.wpsstatic.com/images/full/e55e-572a5398d491b.jpg")</f>
        <v>http://cdn.wpsstatic.com/images/full/e55e-572a5398d491b.jpg</v>
      </c>
      <c r="B2388" s="5" t="s">
        <v>2388</v>
      </c>
    </row>
    <row r="2389" spans="1:2" x14ac:dyDescent="0.2">
      <c r="A2389" s="4" t="str">
        <f>HYPERLINK("http://cdn.wpsstatic.com/images/full/e569-572a52aecf3a7.jpg", "http://cdn.wpsstatic.com/images/full/e569-572a52aecf3a7.jpg")</f>
        <v>http://cdn.wpsstatic.com/images/full/e569-572a52aecf3a7.jpg</v>
      </c>
      <c r="B2389" s="5" t="s">
        <v>2389</v>
      </c>
    </row>
    <row r="2390" spans="1:2" x14ac:dyDescent="0.2">
      <c r="A2390" s="4" t="str">
        <f>HYPERLINK("http://cdn.wpsstatic.com/images/full/e59f-5885c2093a291.jpg", "http://cdn.wpsstatic.com/images/full/e59f-5885c2093a291.jpg")</f>
        <v>http://cdn.wpsstatic.com/images/full/e59f-5885c2093a291.jpg</v>
      </c>
      <c r="B2390" s="5" t="s">
        <v>2390</v>
      </c>
    </row>
    <row r="2391" spans="1:2" x14ac:dyDescent="0.2">
      <c r="A2391" s="4" t="str">
        <f>HYPERLINK("http://cdn.wpsstatic.com/images/full/e5c0-5885c2431aee1.jpg", "http://cdn.wpsstatic.com/images/full/e5c0-5885c2431aee1.jpg")</f>
        <v>http://cdn.wpsstatic.com/images/full/e5c0-5885c2431aee1.jpg</v>
      </c>
      <c r="B2391" s="5" t="s">
        <v>2391</v>
      </c>
    </row>
    <row r="2392" spans="1:2" x14ac:dyDescent="0.2">
      <c r="A2392" s="4" t="str">
        <f>HYPERLINK("http://cdn.wpsstatic.com/images/full/e5c1-572a555e15090.jpg", "http://cdn.wpsstatic.com/images/full/e5c1-572a555e15090.jpg")</f>
        <v>http://cdn.wpsstatic.com/images/full/e5c1-572a555e15090.jpg</v>
      </c>
      <c r="B2392" s="5" t="s">
        <v>2392</v>
      </c>
    </row>
    <row r="2393" spans="1:2" x14ac:dyDescent="0.2">
      <c r="A2393" s="4" t="str">
        <f>HYPERLINK("http://cdn.wpsstatic.com/images/full/e5cf-572a5545c9678.jpg", "http://cdn.wpsstatic.com/images/full/e5cf-572a5545c9678.jpg")</f>
        <v>http://cdn.wpsstatic.com/images/full/e5cf-572a5545c9678.jpg</v>
      </c>
      <c r="B2393" s="5" t="s">
        <v>2393</v>
      </c>
    </row>
    <row r="2394" spans="1:2" x14ac:dyDescent="0.2">
      <c r="A2394" s="4" t="str">
        <f>HYPERLINK("http://cdn.wpsstatic.com/images/full/e5f5-572a5402f1fc8.jpg", "http://cdn.wpsstatic.com/images/full/e5f5-572a5402f1fc8.jpg")</f>
        <v>http://cdn.wpsstatic.com/images/full/e5f5-572a5402f1fc8.jpg</v>
      </c>
      <c r="B2394" s="5" t="s">
        <v>2394</v>
      </c>
    </row>
    <row r="2395" spans="1:2" x14ac:dyDescent="0.2">
      <c r="A2395" s="4" t="str">
        <f>HYPERLINK("http://cdn.wpsstatic.com/images/full/e5fd-5d790174e813c.jpg", "http://cdn.wpsstatic.com/images/full/e5fd-5d790174e813c.jpg")</f>
        <v>http://cdn.wpsstatic.com/images/full/e5fd-5d790174e813c.jpg</v>
      </c>
      <c r="B2395" s="5" t="s">
        <v>2395</v>
      </c>
    </row>
    <row r="2396" spans="1:2" x14ac:dyDescent="0.2">
      <c r="A2396" s="4" t="str">
        <f>HYPERLINK("http://cdn.wpsstatic.com/images/full/e614-5d02969c80563.jpg", "http://cdn.wpsstatic.com/images/full/e614-5d02969c80563.jpg")</f>
        <v>http://cdn.wpsstatic.com/images/full/e614-5d02969c80563.jpg</v>
      </c>
      <c r="B2396" s="5" t="s">
        <v>2396</v>
      </c>
    </row>
    <row r="2397" spans="1:2" x14ac:dyDescent="0.2">
      <c r="A2397" s="4" t="str">
        <f>HYPERLINK("http://cdn.wpsstatic.com/images/full/e65c-5a283a72eb2ae.jpg", "http://cdn.wpsstatic.com/images/full/e65c-5a283a72eb2ae.jpg")</f>
        <v>http://cdn.wpsstatic.com/images/full/e65c-5a283a72eb2ae.jpg</v>
      </c>
      <c r="B2397" s="5" t="s">
        <v>2397</v>
      </c>
    </row>
    <row r="2398" spans="1:2" x14ac:dyDescent="0.2">
      <c r="A2398" s="4" t="str">
        <f>HYPERLINK("http://cdn.wpsstatic.com/images/full/e679-572a547c0a3f1.jpg", "http://cdn.wpsstatic.com/images/full/e679-572a547c0a3f1.jpg")</f>
        <v>http://cdn.wpsstatic.com/images/full/e679-572a547c0a3f1.jpg</v>
      </c>
      <c r="B2398" s="5" t="s">
        <v>2398</v>
      </c>
    </row>
    <row r="2399" spans="1:2" x14ac:dyDescent="0.2">
      <c r="A2399" s="4" t="str">
        <f>HYPERLINK("http://cdn.wpsstatic.com/images/full/e6c4-5885c1dc4b5b6.jpg", "http://cdn.wpsstatic.com/images/full/e6c4-5885c1dc4b5b6.jpg")</f>
        <v>http://cdn.wpsstatic.com/images/full/e6c4-5885c1dc4b5b6.jpg</v>
      </c>
      <c r="B2399" s="5" t="s">
        <v>2399</v>
      </c>
    </row>
    <row r="2400" spans="1:2" x14ac:dyDescent="0.2">
      <c r="A2400" s="4" t="str">
        <f>HYPERLINK("http://cdn.wpsstatic.com/images/full/e70a-572a52acd13fe.jpg", "http://cdn.wpsstatic.com/images/full/e70a-572a52acd13fe.jpg")</f>
        <v>http://cdn.wpsstatic.com/images/full/e70a-572a52acd13fe.jpg</v>
      </c>
      <c r="B2400" s="5" t="s">
        <v>2400</v>
      </c>
    </row>
    <row r="2401" spans="1:2" x14ac:dyDescent="0.2">
      <c r="A2401" s="4" t="str">
        <f>HYPERLINK("http://cdn.wpsstatic.com/images/full/e725-572a74fc84d46.jpg", "http://cdn.wpsstatic.com/images/full/e725-572a74fc84d46.jpg")</f>
        <v>http://cdn.wpsstatic.com/images/full/e725-572a74fc84d46.jpg</v>
      </c>
      <c r="B2401" s="5" t="s">
        <v>2401</v>
      </c>
    </row>
    <row r="2402" spans="1:2" x14ac:dyDescent="0.2">
      <c r="A2402" s="4" t="str">
        <f>HYPERLINK("http://cdn.wpsstatic.com/images/full/e753-572a554f77e7b.jpg", "http://cdn.wpsstatic.com/images/full/e753-572a554f77e7b.jpg")</f>
        <v>http://cdn.wpsstatic.com/images/full/e753-572a554f77e7b.jpg</v>
      </c>
      <c r="B2402" s="5" t="s">
        <v>2402</v>
      </c>
    </row>
    <row r="2403" spans="1:2" x14ac:dyDescent="0.2">
      <c r="A2403" s="4" t="str">
        <f>HYPERLINK("http://cdn.wpsstatic.com/images/full/e756-572a52524784b.jpg", "http://cdn.wpsstatic.com/images/full/e756-572a52524784b.jpg")</f>
        <v>http://cdn.wpsstatic.com/images/full/e756-572a52524784b.jpg</v>
      </c>
      <c r="B2403" s="5" t="s">
        <v>2403</v>
      </c>
    </row>
    <row r="2404" spans="1:2" x14ac:dyDescent="0.2">
      <c r="A2404" s="4" t="str">
        <f>HYPERLINK("http://cdn.wpsstatic.com/images/full/e793-572a5535ced2f.jpg", "http://cdn.wpsstatic.com/images/full/e793-572a5535ced2f.jpg")</f>
        <v>http://cdn.wpsstatic.com/images/full/e793-572a5535ced2f.jpg</v>
      </c>
      <c r="B2404" s="5" t="s">
        <v>2404</v>
      </c>
    </row>
    <row r="2405" spans="1:2" x14ac:dyDescent="0.2">
      <c r="A2405" s="4" t="str">
        <f>HYPERLINK("http://cdn.wpsstatic.com/images/full/e7b8-572a54df5a4d6.jpg", "http://cdn.wpsstatic.com/images/full/e7b8-572a54df5a4d6.jpg")</f>
        <v>http://cdn.wpsstatic.com/images/full/e7b8-572a54df5a4d6.jpg</v>
      </c>
      <c r="B2405" s="5" t="s">
        <v>2405</v>
      </c>
    </row>
    <row r="2406" spans="1:2" x14ac:dyDescent="0.2">
      <c r="A2406" s="4" t="str">
        <f>HYPERLINK("http://cdn.wpsstatic.com/images/full/e7c8-572a562bf09e9.jpg", "http://cdn.wpsstatic.com/images/full/e7c8-572a562bf09e9.jpg")</f>
        <v>http://cdn.wpsstatic.com/images/full/e7c8-572a562bf09e9.jpg</v>
      </c>
      <c r="B2406" s="5" t="s">
        <v>2406</v>
      </c>
    </row>
    <row r="2407" spans="1:2" x14ac:dyDescent="0.2">
      <c r="A2407" s="4" t="str">
        <f>HYPERLINK("http://cdn.wpsstatic.com/images/full/e7d8-5d79056fc606e.jpg", "http://cdn.wpsstatic.com/images/full/e7d8-5d79056fc606e.jpg")</f>
        <v>http://cdn.wpsstatic.com/images/full/e7d8-5d79056fc606e.jpg</v>
      </c>
      <c r="B2407" s="5" t="s">
        <v>2407</v>
      </c>
    </row>
    <row r="2408" spans="1:2" x14ac:dyDescent="0.2">
      <c r="A2408" s="4" t="str">
        <f>HYPERLINK("http://cdn.wpsstatic.com/images/full/e805-572a55a157096.jpg", "http://cdn.wpsstatic.com/images/full/e805-572a55a157096.jpg")</f>
        <v>http://cdn.wpsstatic.com/images/full/e805-572a55a157096.jpg</v>
      </c>
      <c r="B2408" s="5" t="s">
        <v>2408</v>
      </c>
    </row>
    <row r="2409" spans="1:2" x14ac:dyDescent="0.2">
      <c r="A2409" s="4" t="str">
        <f>HYPERLINK("http://cdn.wpsstatic.com/images/full/e81d-572a537458219.jpg", "http://cdn.wpsstatic.com/images/full/e81d-572a537458219.jpg")</f>
        <v>http://cdn.wpsstatic.com/images/full/e81d-572a537458219.jpg</v>
      </c>
      <c r="B2409" s="5" t="s">
        <v>2409</v>
      </c>
    </row>
    <row r="2410" spans="1:2" x14ac:dyDescent="0.2">
      <c r="A2410" s="4" t="str">
        <f>HYPERLINK("http://cdn.wpsstatic.com/images/full/e828-5cca0a6d98ed1.jpg", "http://cdn.wpsstatic.com/images/full/e828-5cca0a6d98ed1.jpg")</f>
        <v>http://cdn.wpsstatic.com/images/full/e828-5cca0a6d98ed1.jpg</v>
      </c>
      <c r="B2410" s="5" t="s">
        <v>2410</v>
      </c>
    </row>
    <row r="2411" spans="1:2" x14ac:dyDescent="0.2">
      <c r="A2411" s="4" t="str">
        <f>HYPERLINK("http://cdn.wpsstatic.com/images/full/e830-5d02914d10c91.jpg", "http://cdn.wpsstatic.com/images/full/e830-5d02914d10c91.jpg")</f>
        <v>http://cdn.wpsstatic.com/images/full/e830-5d02914d10c91.jpg</v>
      </c>
      <c r="B2411" s="5" t="s">
        <v>2411</v>
      </c>
    </row>
    <row r="2412" spans="1:2" x14ac:dyDescent="0.2">
      <c r="A2412" s="4" t="str">
        <f>HYPERLINK("http://cdn.wpsstatic.com/images/full/e84e-572a546bf2591.jpg", "http://cdn.wpsstatic.com/images/full/e84e-572a546bf2591.jpg")</f>
        <v>http://cdn.wpsstatic.com/images/full/e84e-572a546bf2591.jpg</v>
      </c>
      <c r="B2412" s="5" t="s">
        <v>2412</v>
      </c>
    </row>
    <row r="2413" spans="1:2" x14ac:dyDescent="0.2">
      <c r="A2413" s="4" t="str">
        <f>HYPERLINK("http://cdn.wpsstatic.com/images/full/e891-572a54f718caf.jpg", "http://cdn.wpsstatic.com/images/full/e891-572a54f718caf.jpg")</f>
        <v>http://cdn.wpsstatic.com/images/full/e891-572a54f718caf.jpg</v>
      </c>
      <c r="B2413" s="5" t="s">
        <v>2413</v>
      </c>
    </row>
    <row r="2414" spans="1:2" x14ac:dyDescent="0.2">
      <c r="A2414" s="4" t="str">
        <f>HYPERLINK("http://cdn.wpsstatic.com/images/full/e8ba-572a53643ad55.jpg", "http://cdn.wpsstatic.com/images/full/e8ba-572a53643ad55.jpg")</f>
        <v>http://cdn.wpsstatic.com/images/full/e8ba-572a53643ad55.jpg</v>
      </c>
      <c r="B2414" s="5" t="s">
        <v>2414</v>
      </c>
    </row>
    <row r="2415" spans="1:2" x14ac:dyDescent="0.2">
      <c r="A2415" s="4" t="str">
        <f>HYPERLINK("http://cdn.wpsstatic.com/images/full/e8cd-572a551760afc.jpg", "http://cdn.wpsstatic.com/images/full/e8cd-572a551760afc.jpg")</f>
        <v>http://cdn.wpsstatic.com/images/full/e8cd-572a551760afc.jpg</v>
      </c>
      <c r="B2415" s="5" t="s">
        <v>2415</v>
      </c>
    </row>
    <row r="2416" spans="1:2" x14ac:dyDescent="0.2">
      <c r="A2416" s="4" t="str">
        <f>HYPERLINK("http://cdn.wpsstatic.com/images/full/e8dc-572a53080890e.jpg", "http://cdn.wpsstatic.com/images/full/e8dc-572a53080890e.jpg")</f>
        <v>http://cdn.wpsstatic.com/images/full/e8dc-572a53080890e.jpg</v>
      </c>
      <c r="B2416" s="5" t="s">
        <v>2416</v>
      </c>
    </row>
    <row r="2417" spans="1:2" x14ac:dyDescent="0.2">
      <c r="A2417" s="4" t="str">
        <f>HYPERLINK("http://cdn.wpsstatic.com/images/full/e8e6-6040f84f7bb64.jpg", "http://cdn.wpsstatic.com/images/full/e8e6-6040f84f7bb64.jpg")</f>
        <v>http://cdn.wpsstatic.com/images/full/e8e6-6040f84f7bb64.jpg</v>
      </c>
      <c r="B2417" s="5" t="s">
        <v>2417</v>
      </c>
    </row>
    <row r="2418" spans="1:2" x14ac:dyDescent="0.2">
      <c r="A2418" s="4" t="str">
        <f>HYPERLINK("http://cdn.wpsstatic.com/images/full/e93e-572a54e65b37e.jpg", "http://cdn.wpsstatic.com/images/full/e93e-572a54e65b37e.jpg")</f>
        <v>http://cdn.wpsstatic.com/images/full/e93e-572a54e65b37e.jpg</v>
      </c>
      <c r="B2418" s="5" t="s">
        <v>2418</v>
      </c>
    </row>
    <row r="2419" spans="1:2" x14ac:dyDescent="0.2">
      <c r="A2419" s="4" t="str">
        <f>HYPERLINK("http://cdn.wpsstatic.com/images/full/e97f-572a544cac118.jpg", "http://cdn.wpsstatic.com/images/full/e97f-572a544cac118.jpg")</f>
        <v>http://cdn.wpsstatic.com/images/full/e97f-572a544cac118.jpg</v>
      </c>
      <c r="B2419" s="5" t="s">
        <v>2419</v>
      </c>
    </row>
    <row r="2420" spans="1:2" x14ac:dyDescent="0.2">
      <c r="A2420" s="4" t="str">
        <f>HYPERLINK("http://cdn.wpsstatic.com/images/full/e98d-572a54d8a1240.jpg", "http://cdn.wpsstatic.com/images/full/e98d-572a54d8a1240.jpg")</f>
        <v>http://cdn.wpsstatic.com/images/full/e98d-572a54d8a1240.jpg</v>
      </c>
      <c r="B2420" s="5" t="s">
        <v>2420</v>
      </c>
    </row>
    <row r="2421" spans="1:2" x14ac:dyDescent="0.2">
      <c r="A2421" s="4" t="str">
        <f>HYPERLINK("http://cdn.wpsstatic.com/images/full/e992-572a52f8ede5c.jpg", "http://cdn.wpsstatic.com/images/full/e992-572a52f8ede5c.jpg")</f>
        <v>http://cdn.wpsstatic.com/images/full/e992-572a52f8ede5c.jpg</v>
      </c>
      <c r="B2421" s="5" t="s">
        <v>2421</v>
      </c>
    </row>
    <row r="2422" spans="1:2" x14ac:dyDescent="0.2">
      <c r="A2422" s="4" t="str">
        <f>HYPERLINK("http://cdn.wpsstatic.com/images/full/e9b3-603e909811a49.jpg", "http://cdn.wpsstatic.com/images/full/e9b3-603e909811a49.jpg")</f>
        <v>http://cdn.wpsstatic.com/images/full/e9b3-603e909811a49.jpg</v>
      </c>
      <c r="B2422" s="5" t="s">
        <v>2422</v>
      </c>
    </row>
    <row r="2423" spans="1:2" x14ac:dyDescent="0.2">
      <c r="A2423" s="4" t="str">
        <f>HYPERLINK("http://cdn.wpsstatic.com/images/full/e9b9-572a5375a2427.jpg", "http://cdn.wpsstatic.com/images/full/e9b9-572a5375a2427.jpg")</f>
        <v>http://cdn.wpsstatic.com/images/full/e9b9-572a5375a2427.jpg</v>
      </c>
      <c r="B2423" s="5" t="s">
        <v>2423</v>
      </c>
    </row>
    <row r="2424" spans="1:2" x14ac:dyDescent="0.2">
      <c r="A2424" s="4" t="str">
        <f>HYPERLINK("http://cdn.wpsstatic.com/images/full/e9e4-63643b28dad99.png", "http://cdn.wpsstatic.com/images/full/e9e4-63643b28dad99.png")</f>
        <v>http://cdn.wpsstatic.com/images/full/e9e4-63643b28dad99.png</v>
      </c>
      <c r="B2424" s="5" t="s">
        <v>2424</v>
      </c>
    </row>
    <row r="2425" spans="1:2" x14ac:dyDescent="0.2">
      <c r="A2425" s="4" t="str">
        <f>HYPERLINK("http://cdn.wpsstatic.com/images/full/e9f1-572a5482c58ef.jpg", "http://cdn.wpsstatic.com/images/full/e9f1-572a5482c58ef.jpg")</f>
        <v>http://cdn.wpsstatic.com/images/full/e9f1-572a5482c58ef.jpg</v>
      </c>
      <c r="B2425" s="5" t="s">
        <v>2425</v>
      </c>
    </row>
    <row r="2426" spans="1:2" x14ac:dyDescent="0.2">
      <c r="A2426" s="4" t="str">
        <f>HYPERLINK("http://cdn.wpsstatic.com/images/full/e9f2-572a5386dc6d6.jpg", "http://cdn.wpsstatic.com/images/full/e9f2-572a5386dc6d6.jpg")</f>
        <v>http://cdn.wpsstatic.com/images/full/e9f2-572a5386dc6d6.jpg</v>
      </c>
      <c r="B2426" s="5" t="s">
        <v>2426</v>
      </c>
    </row>
    <row r="2427" spans="1:2" x14ac:dyDescent="0.2">
      <c r="A2427" s="4" t="str">
        <f>HYPERLINK("http://cdn.wpsstatic.com/images/full/e9f6-572a5335e3b9b.jpg", "http://cdn.wpsstatic.com/images/full/e9f6-572a5335e3b9b.jpg")</f>
        <v>http://cdn.wpsstatic.com/images/full/e9f6-572a5335e3b9b.jpg</v>
      </c>
      <c r="B2427" s="5" t="s">
        <v>2427</v>
      </c>
    </row>
    <row r="2428" spans="1:2" x14ac:dyDescent="0.2">
      <c r="A2428" s="4" t="str">
        <f>HYPERLINK("http://cdn.wpsstatic.com/images/full/ea08-572a537a301ac.jpg", "http://cdn.wpsstatic.com/images/full/ea08-572a537a301ac.jpg")</f>
        <v>http://cdn.wpsstatic.com/images/full/ea08-572a537a301ac.jpg</v>
      </c>
      <c r="B2428" s="5" t="s">
        <v>2428</v>
      </c>
    </row>
    <row r="2429" spans="1:2" x14ac:dyDescent="0.2">
      <c r="A2429" s="4" t="str">
        <f>HYPERLINK("http://cdn.wpsstatic.com/images/full/ea0a-572a54dc1815d.jpg", "http://cdn.wpsstatic.com/images/full/ea0a-572a54dc1815d.jpg")</f>
        <v>http://cdn.wpsstatic.com/images/full/ea0a-572a54dc1815d.jpg</v>
      </c>
      <c r="B2429" s="5" t="s">
        <v>2429</v>
      </c>
    </row>
    <row r="2430" spans="1:2" x14ac:dyDescent="0.2">
      <c r="A2430" s="4" t="str">
        <f>HYPERLINK("http://cdn.wpsstatic.com/images/full/ea14-572a5633e9c1b.jpg", "http://cdn.wpsstatic.com/images/full/ea14-572a5633e9c1b.jpg")</f>
        <v>http://cdn.wpsstatic.com/images/full/ea14-572a5633e9c1b.jpg</v>
      </c>
      <c r="B2430" s="5" t="s">
        <v>2430</v>
      </c>
    </row>
    <row r="2431" spans="1:2" x14ac:dyDescent="0.2">
      <c r="A2431" s="4" t="str">
        <f>HYPERLINK("http://cdn.wpsstatic.com/images/full/ea25-5885c1f29c342.jpg", "http://cdn.wpsstatic.com/images/full/ea25-5885c1f29c342.jpg")</f>
        <v>http://cdn.wpsstatic.com/images/full/ea25-5885c1f29c342.jpg</v>
      </c>
      <c r="B2431" s="5" t="s">
        <v>2431</v>
      </c>
    </row>
    <row r="2432" spans="1:2" x14ac:dyDescent="0.2">
      <c r="A2432" s="4" t="str">
        <f>HYPERLINK("http://cdn.wpsstatic.com/images/full/ea58-5d028bf0062ea.jpg", "http://cdn.wpsstatic.com/images/full/ea58-5d028bf0062ea.jpg")</f>
        <v>http://cdn.wpsstatic.com/images/full/ea58-5d028bf0062ea.jpg</v>
      </c>
      <c r="B2432" s="5" t="s">
        <v>2432</v>
      </c>
    </row>
    <row r="2433" spans="1:2" x14ac:dyDescent="0.2">
      <c r="A2433" s="4" t="str">
        <f>HYPERLINK("http://cdn.wpsstatic.com/images/full/ea70-604105016f10d.jpg", "http://cdn.wpsstatic.com/images/full/ea70-604105016f10d.jpg")</f>
        <v>http://cdn.wpsstatic.com/images/full/ea70-604105016f10d.jpg</v>
      </c>
      <c r="B2433" s="5" t="s">
        <v>2433</v>
      </c>
    </row>
    <row r="2434" spans="1:2" x14ac:dyDescent="0.2">
      <c r="A2434" s="4" t="str">
        <f>HYPERLINK("http://cdn.wpsstatic.com/images/full/ea78-572a5329a871c.jpg", "http://cdn.wpsstatic.com/images/full/ea78-572a5329a871c.jpg")</f>
        <v>http://cdn.wpsstatic.com/images/full/ea78-572a5329a871c.jpg</v>
      </c>
      <c r="B2434" s="5" t="s">
        <v>2434</v>
      </c>
    </row>
    <row r="2435" spans="1:2" x14ac:dyDescent="0.2">
      <c r="A2435" s="4" t="str">
        <f>HYPERLINK("http://cdn.wpsstatic.com/images/full/ea8a-572a548622de8.jpg", "http://cdn.wpsstatic.com/images/full/ea8a-572a548622de8.jpg")</f>
        <v>http://cdn.wpsstatic.com/images/full/ea8a-572a548622de8.jpg</v>
      </c>
      <c r="B2435" s="5" t="s">
        <v>2435</v>
      </c>
    </row>
    <row r="2436" spans="1:2" x14ac:dyDescent="0.2">
      <c r="A2436" s="4" t="str">
        <f>HYPERLINK("http://cdn.wpsstatic.com/images/full/ea91-572a530b5ceed.jpg", "http://cdn.wpsstatic.com/images/full/ea91-572a530b5ceed.jpg")</f>
        <v>http://cdn.wpsstatic.com/images/full/ea91-572a530b5ceed.jpg</v>
      </c>
      <c r="B2436" s="5" t="s">
        <v>2436</v>
      </c>
    </row>
    <row r="2437" spans="1:2" x14ac:dyDescent="0.2">
      <c r="A2437" s="4" t="str">
        <f>HYPERLINK("http://cdn.wpsstatic.com/images/full/eab0-572a54e792c4c.jpg", "http://cdn.wpsstatic.com/images/full/eab0-572a54e792c4c.jpg")</f>
        <v>http://cdn.wpsstatic.com/images/full/eab0-572a54e792c4c.jpg</v>
      </c>
      <c r="B2437" s="5" t="s">
        <v>2437</v>
      </c>
    </row>
    <row r="2438" spans="1:2" x14ac:dyDescent="0.2">
      <c r="A2438" s="4" t="str">
        <f>HYPERLINK("http://cdn.wpsstatic.com/images/full/eab4-572a55249655c.jpg", "http://cdn.wpsstatic.com/images/full/eab4-572a55249655c.jpg")</f>
        <v>http://cdn.wpsstatic.com/images/full/eab4-572a55249655c.jpg</v>
      </c>
      <c r="B2438" s="5" t="s">
        <v>2438</v>
      </c>
    </row>
    <row r="2439" spans="1:2" x14ac:dyDescent="0.2">
      <c r="A2439" s="4" t="str">
        <f>HYPERLINK("http://cdn.wpsstatic.com/images/full/eaf7-660426993f6c6.png", "http://cdn.wpsstatic.com/images/full/eaf7-660426993f6c6.png")</f>
        <v>http://cdn.wpsstatic.com/images/full/eaf7-660426993f6c6.png</v>
      </c>
      <c r="B2439" s="5" t="s">
        <v>2439</v>
      </c>
    </row>
    <row r="2440" spans="1:2" x14ac:dyDescent="0.2">
      <c r="A2440" s="4" t="str">
        <f>HYPERLINK("http://cdn.wpsstatic.com/images/full/eb0c-5d0299d57c0c8.jpg", "http://cdn.wpsstatic.com/images/full/eb0c-5d0299d57c0c8.jpg")</f>
        <v>http://cdn.wpsstatic.com/images/full/eb0c-5d0299d57c0c8.jpg</v>
      </c>
      <c r="B2440" s="5" t="s">
        <v>2440</v>
      </c>
    </row>
    <row r="2441" spans="1:2" x14ac:dyDescent="0.2">
      <c r="A2441" s="4" t="str">
        <f>HYPERLINK("http://cdn.wpsstatic.com/images/full/eb3e-572a54fb1de76.jpg", "http://cdn.wpsstatic.com/images/full/eb3e-572a54fb1de76.jpg")</f>
        <v>http://cdn.wpsstatic.com/images/full/eb3e-572a54fb1de76.jpg</v>
      </c>
      <c r="B2441" s="5" t="s">
        <v>2441</v>
      </c>
    </row>
    <row r="2442" spans="1:2" x14ac:dyDescent="0.2">
      <c r="A2442" s="4" t="str">
        <f>HYPERLINK("http://cdn.wpsstatic.com/images/full/eb40-5d029a0613e79.jpg", "http://cdn.wpsstatic.com/images/full/eb40-5d029a0613e79.jpg")</f>
        <v>http://cdn.wpsstatic.com/images/full/eb40-5d029a0613e79.jpg</v>
      </c>
      <c r="B2442" s="5" t="s">
        <v>2442</v>
      </c>
    </row>
    <row r="2443" spans="1:2" x14ac:dyDescent="0.2">
      <c r="A2443" s="4" t="str">
        <f>HYPERLINK("http://cdn.wpsstatic.com/images/full/eb46-572a541162201.jpg", "http://cdn.wpsstatic.com/images/full/eb46-572a541162201.jpg")</f>
        <v>http://cdn.wpsstatic.com/images/full/eb46-572a541162201.jpg</v>
      </c>
      <c r="B2443" s="5" t="s">
        <v>2443</v>
      </c>
    </row>
    <row r="2444" spans="1:2" x14ac:dyDescent="0.2">
      <c r="A2444" s="4" t="str">
        <f>HYPERLINK("http://cdn.wpsstatic.com/images/full/eb4d-5d029987a5912.jpg", "http://cdn.wpsstatic.com/images/full/eb4d-5d029987a5912.jpg")</f>
        <v>http://cdn.wpsstatic.com/images/full/eb4d-5d029987a5912.jpg</v>
      </c>
      <c r="B2444" s="5" t="s">
        <v>2444</v>
      </c>
    </row>
    <row r="2445" spans="1:2" x14ac:dyDescent="0.2">
      <c r="A2445" s="4" t="str">
        <f>HYPERLINK("http://cdn.wpsstatic.com/images/full/ebb3-572a546245bdf.jpg", "http://cdn.wpsstatic.com/images/full/ebb3-572a546245bdf.jpg")</f>
        <v>http://cdn.wpsstatic.com/images/full/ebb3-572a546245bdf.jpg</v>
      </c>
      <c r="B2445" s="5" t="s">
        <v>2445</v>
      </c>
    </row>
    <row r="2446" spans="1:2" x14ac:dyDescent="0.2">
      <c r="A2446" s="4" t="str">
        <f>HYPERLINK("http://cdn.wpsstatic.com/images/full/ec07-572a54a5347d6.jpg", "http://cdn.wpsstatic.com/images/full/ec07-572a54a5347d6.jpg")</f>
        <v>http://cdn.wpsstatic.com/images/full/ec07-572a54a5347d6.jpg</v>
      </c>
      <c r="B2446" s="5" t="s">
        <v>2446</v>
      </c>
    </row>
    <row r="2447" spans="1:2" x14ac:dyDescent="0.2">
      <c r="A2447" s="4" t="str">
        <f>HYPERLINK("http://cdn.wpsstatic.com/images/full/ec11-5885ddf7bc7c4.jpg", "http://cdn.wpsstatic.com/images/full/ec11-5885ddf7bc7c4.jpg")</f>
        <v>http://cdn.wpsstatic.com/images/full/ec11-5885ddf7bc7c4.jpg</v>
      </c>
      <c r="B2447" s="5" t="s">
        <v>2447</v>
      </c>
    </row>
    <row r="2448" spans="1:2" x14ac:dyDescent="0.2">
      <c r="A2448" s="4" t="str">
        <f>HYPERLINK("http://cdn.wpsstatic.com/images/full/ec67-6040fe00def57.jpg", "http://cdn.wpsstatic.com/images/full/ec67-6040fe00def57.jpg")</f>
        <v>http://cdn.wpsstatic.com/images/full/ec67-6040fe00def57.jpg</v>
      </c>
      <c r="B2448" s="5" t="s">
        <v>2448</v>
      </c>
    </row>
    <row r="2449" spans="1:2" x14ac:dyDescent="0.2">
      <c r="A2449" s="4" t="str">
        <f>HYPERLINK("http://cdn.wpsstatic.com/images/full/ec68-572a53b404a32.jpg", "http://cdn.wpsstatic.com/images/full/ec68-572a53b404a32.jpg")</f>
        <v>http://cdn.wpsstatic.com/images/full/ec68-572a53b404a32.jpg</v>
      </c>
      <c r="B2449" s="5" t="s">
        <v>2449</v>
      </c>
    </row>
    <row r="2450" spans="1:2" x14ac:dyDescent="0.2">
      <c r="A2450" s="4" t="str">
        <f>HYPERLINK("http://cdn.wpsstatic.com/images/full/ecb8-572a546523732.jpg", "http://cdn.wpsstatic.com/images/full/ecb8-572a546523732.jpg")</f>
        <v>http://cdn.wpsstatic.com/images/full/ecb8-572a546523732.jpg</v>
      </c>
      <c r="B2450" s="5" t="s">
        <v>2450</v>
      </c>
    </row>
    <row r="2451" spans="1:2" x14ac:dyDescent="0.2">
      <c r="A2451" s="4" t="str">
        <f>HYPERLINK("http://cdn.wpsstatic.com/images/full/ecca-572a54630f964.jpg", "http://cdn.wpsstatic.com/images/full/ecca-572a54630f964.jpg")</f>
        <v>http://cdn.wpsstatic.com/images/full/ecca-572a54630f964.jpg</v>
      </c>
      <c r="B2451" s="5" t="s">
        <v>2451</v>
      </c>
    </row>
    <row r="2452" spans="1:2" x14ac:dyDescent="0.2">
      <c r="A2452" s="4" t="str">
        <f>HYPERLINK("http://cdn.wpsstatic.com/images/full/ece0-572a539ab2baa.jpg", "http://cdn.wpsstatic.com/images/full/ece0-572a539ab2baa.jpg")</f>
        <v>http://cdn.wpsstatic.com/images/full/ece0-572a539ab2baa.jpg</v>
      </c>
      <c r="B2452" s="5" t="s">
        <v>2452</v>
      </c>
    </row>
    <row r="2453" spans="1:2" x14ac:dyDescent="0.2">
      <c r="A2453" s="4" t="str">
        <f>HYPERLINK("http://cdn.wpsstatic.com/images/full/ece2-5fb448904002d.jpg", "http://cdn.wpsstatic.com/images/full/ece2-5fb448904002d.jpg")</f>
        <v>http://cdn.wpsstatic.com/images/full/ece2-5fb448904002d.jpg</v>
      </c>
      <c r="B2453" s="5" t="s">
        <v>2453</v>
      </c>
    </row>
    <row r="2454" spans="1:2" x14ac:dyDescent="0.2">
      <c r="A2454" s="4" t="str">
        <f>HYPERLINK("http://cdn.wpsstatic.com/images/full/ecf1-5d02980d88923.jpg", "http://cdn.wpsstatic.com/images/full/ecf1-5d02980d88923.jpg")</f>
        <v>http://cdn.wpsstatic.com/images/full/ecf1-5d02980d88923.jpg</v>
      </c>
      <c r="B2454" s="5" t="s">
        <v>2454</v>
      </c>
    </row>
    <row r="2455" spans="1:2" x14ac:dyDescent="0.2">
      <c r="A2455" s="4" t="str">
        <f>HYPERLINK("http://cdn.wpsstatic.com/images/full/ecf3-5d028ae6737c5.jpg", "http://cdn.wpsstatic.com/images/full/ecf3-5d028ae6737c5.jpg")</f>
        <v>http://cdn.wpsstatic.com/images/full/ecf3-5d028ae6737c5.jpg</v>
      </c>
      <c r="B2455" s="5" t="s">
        <v>2455</v>
      </c>
    </row>
    <row r="2456" spans="1:2" x14ac:dyDescent="0.2">
      <c r="A2456" s="4" t="str">
        <f>HYPERLINK("http://cdn.wpsstatic.com/images/full/ecf5-572a5457575de.jpg", "http://cdn.wpsstatic.com/images/full/ecf5-572a5457575de.jpg")</f>
        <v>http://cdn.wpsstatic.com/images/full/ecf5-572a5457575de.jpg</v>
      </c>
      <c r="B2456" s="5" t="s">
        <v>2456</v>
      </c>
    </row>
    <row r="2457" spans="1:2" x14ac:dyDescent="0.2">
      <c r="A2457" s="4" t="str">
        <f>HYPERLINK("http://cdn.wpsstatic.com/images/full/ed32-572a531760cf8.jpg", "http://cdn.wpsstatic.com/images/full/ed32-572a531760cf8.jpg")</f>
        <v>http://cdn.wpsstatic.com/images/full/ed32-572a531760cf8.jpg</v>
      </c>
      <c r="B2457" s="5" t="s">
        <v>2457</v>
      </c>
    </row>
    <row r="2458" spans="1:2" x14ac:dyDescent="0.2">
      <c r="A2458" s="4" t="str">
        <f>HYPERLINK("http://cdn.wpsstatic.com/images/full/ed48-5d16847352dcc.jpg", "http://cdn.wpsstatic.com/images/full/ed48-5d16847352dcc.jpg")</f>
        <v>http://cdn.wpsstatic.com/images/full/ed48-5d16847352dcc.jpg</v>
      </c>
      <c r="B2458" s="5" t="s">
        <v>2458</v>
      </c>
    </row>
    <row r="2459" spans="1:2" x14ac:dyDescent="0.2">
      <c r="A2459" s="4" t="str">
        <f>HYPERLINK("http://cdn.wpsstatic.com/images/full/ed4d-572a55a55680b.jpg", "http://cdn.wpsstatic.com/images/full/ed4d-572a55a55680b.jpg")</f>
        <v>http://cdn.wpsstatic.com/images/full/ed4d-572a55a55680b.jpg</v>
      </c>
      <c r="B2459" s="5" t="s">
        <v>2459</v>
      </c>
    </row>
    <row r="2460" spans="1:2" x14ac:dyDescent="0.2">
      <c r="A2460" s="4" t="str">
        <f>HYPERLINK("http://cdn.wpsstatic.com/images/full/ed5c-5d78fff957e92.jpg", "http://cdn.wpsstatic.com/images/full/ed5c-5d78fff957e92.jpg")</f>
        <v>http://cdn.wpsstatic.com/images/full/ed5c-5d78fff957e92.jpg</v>
      </c>
      <c r="B2460" s="5" t="s">
        <v>2460</v>
      </c>
    </row>
    <row r="2461" spans="1:2" x14ac:dyDescent="0.2">
      <c r="A2461" s="4" t="str">
        <f>HYPERLINK("http://cdn.wpsstatic.com/images/full/ed68-572a54a894fa5.jpg", "http://cdn.wpsstatic.com/images/full/ed68-572a54a894fa5.jpg")</f>
        <v>http://cdn.wpsstatic.com/images/full/ed68-572a54a894fa5.jpg</v>
      </c>
      <c r="B2461" s="5" t="s">
        <v>2461</v>
      </c>
    </row>
    <row r="2462" spans="1:2" x14ac:dyDescent="0.2">
      <c r="A2462" s="4" t="str">
        <f>HYPERLINK("http://cdn.wpsstatic.com/images/full/ed9a-572a549bd8cd1.jpg", "http://cdn.wpsstatic.com/images/full/ed9a-572a549bd8cd1.jpg")</f>
        <v>http://cdn.wpsstatic.com/images/full/ed9a-572a549bd8cd1.jpg</v>
      </c>
      <c r="B2462" s="5" t="s">
        <v>2462</v>
      </c>
    </row>
    <row r="2463" spans="1:2" x14ac:dyDescent="0.2">
      <c r="A2463" s="4" t="str">
        <f>HYPERLINK("http://cdn.wpsstatic.com/images/full/edc0-572a53423597c.jpg", "http://cdn.wpsstatic.com/images/full/edc0-572a53423597c.jpg")</f>
        <v>http://cdn.wpsstatic.com/images/full/edc0-572a53423597c.jpg</v>
      </c>
      <c r="B2463" s="5" t="s">
        <v>2463</v>
      </c>
    </row>
    <row r="2464" spans="1:2" x14ac:dyDescent="0.2">
      <c r="A2464" s="4" t="str">
        <f>HYPERLINK("http://cdn.wpsstatic.com/images/full/edca-572a55199956a.jpg", "http://cdn.wpsstatic.com/images/full/edca-572a55199956a.jpg")</f>
        <v>http://cdn.wpsstatic.com/images/full/edca-572a55199956a.jpg</v>
      </c>
      <c r="B2464" s="5" t="s">
        <v>2464</v>
      </c>
    </row>
    <row r="2465" spans="1:2" x14ac:dyDescent="0.2">
      <c r="A2465" s="4" t="str">
        <f>HYPERLINK("http://cdn.wpsstatic.com/images/full/ee08-572a538af26a9.jpg", "http://cdn.wpsstatic.com/images/full/ee08-572a538af26a9.jpg")</f>
        <v>http://cdn.wpsstatic.com/images/full/ee08-572a538af26a9.jpg</v>
      </c>
      <c r="B2465" s="5" t="s">
        <v>2465</v>
      </c>
    </row>
    <row r="2466" spans="1:2" x14ac:dyDescent="0.2">
      <c r="A2466" s="4" t="str">
        <f>HYPERLINK("http://cdn.wpsstatic.com/images/full/ee15-5d0291ed57a8b.jpg", "http://cdn.wpsstatic.com/images/full/ee15-5d0291ed57a8b.jpg")</f>
        <v>http://cdn.wpsstatic.com/images/full/ee15-5d0291ed57a8b.jpg</v>
      </c>
      <c r="B2466" s="5" t="s">
        <v>2466</v>
      </c>
    </row>
    <row r="2467" spans="1:2" x14ac:dyDescent="0.2">
      <c r="A2467" s="4" t="str">
        <f>HYPERLINK("http://cdn.wpsstatic.com/images/full/ee57-572a53d72426a.jpg", "http://cdn.wpsstatic.com/images/full/ee57-572a53d72426a.jpg")</f>
        <v>http://cdn.wpsstatic.com/images/full/ee57-572a53d72426a.jpg</v>
      </c>
      <c r="B2467" s="5" t="s">
        <v>2467</v>
      </c>
    </row>
    <row r="2468" spans="1:2" x14ac:dyDescent="0.2">
      <c r="A2468" s="4" t="str">
        <f>HYPERLINK("http://cdn.wpsstatic.com/images/full/ee65-572a563b4070c.jpg", "http://cdn.wpsstatic.com/images/full/ee65-572a563b4070c.jpg")</f>
        <v>http://cdn.wpsstatic.com/images/full/ee65-572a563b4070c.jpg</v>
      </c>
      <c r="B2468" s="5" t="s">
        <v>2468</v>
      </c>
    </row>
    <row r="2469" spans="1:2" x14ac:dyDescent="0.2">
      <c r="A2469" s="4" t="str">
        <f>HYPERLINK("http://cdn.wpsstatic.com/images/full/ee6e-5885ddf5e4fbf.jpg", "http://cdn.wpsstatic.com/images/full/ee6e-5885ddf5e4fbf.jpg")</f>
        <v>http://cdn.wpsstatic.com/images/full/ee6e-5885ddf5e4fbf.jpg</v>
      </c>
      <c r="B2469" s="5" t="s">
        <v>2469</v>
      </c>
    </row>
    <row r="2470" spans="1:2" x14ac:dyDescent="0.2">
      <c r="A2470" s="4" t="str">
        <f>HYPERLINK("http://cdn.wpsstatic.com/images/full/ee82-572a54bda8669.jpg", "http://cdn.wpsstatic.com/images/full/ee82-572a54bda8669.jpg")</f>
        <v>http://cdn.wpsstatic.com/images/full/ee82-572a54bda8669.jpg</v>
      </c>
      <c r="B2470" s="5" t="s">
        <v>2470</v>
      </c>
    </row>
    <row r="2471" spans="1:2" x14ac:dyDescent="0.2">
      <c r="A2471" s="4" t="str">
        <f>HYPERLINK("http://cdn.wpsstatic.com/images/full/eeac-572a5319a692a.jpg", "http://cdn.wpsstatic.com/images/full/eeac-572a5319a692a.jpg")</f>
        <v>http://cdn.wpsstatic.com/images/full/eeac-572a5319a692a.jpg</v>
      </c>
      <c r="B2471" s="5" t="s">
        <v>2471</v>
      </c>
    </row>
    <row r="2472" spans="1:2" x14ac:dyDescent="0.2">
      <c r="A2472" s="4" t="str">
        <f>HYPERLINK("http://cdn.wpsstatic.com/images/full/eead-572a52b46c11c.jpg", "http://cdn.wpsstatic.com/images/full/eead-572a52b46c11c.jpg")</f>
        <v>http://cdn.wpsstatic.com/images/full/eead-572a52b46c11c.jpg</v>
      </c>
      <c r="B2472" s="5" t="s">
        <v>2472</v>
      </c>
    </row>
    <row r="2473" spans="1:2" x14ac:dyDescent="0.2">
      <c r="A2473" s="4" t="str">
        <f>HYPERLINK("http://cdn.wpsstatic.com/images/full/eec8-5cca09fb4c529.jpg", "http://cdn.wpsstatic.com/images/full/eec8-5cca09fb4c529.jpg")</f>
        <v>http://cdn.wpsstatic.com/images/full/eec8-5cca09fb4c529.jpg</v>
      </c>
      <c r="B2473" s="5" t="s">
        <v>2473</v>
      </c>
    </row>
    <row r="2474" spans="1:2" x14ac:dyDescent="0.2">
      <c r="A2474" s="4" t="str">
        <f>HYPERLINK("http://cdn.wpsstatic.com/images/full/eed2-572a548d3a11f.jpg", "http://cdn.wpsstatic.com/images/full/eed2-572a548d3a11f.jpg")</f>
        <v>http://cdn.wpsstatic.com/images/full/eed2-572a548d3a11f.jpg</v>
      </c>
      <c r="B2474" s="5" t="s">
        <v>2474</v>
      </c>
    </row>
    <row r="2475" spans="1:2" x14ac:dyDescent="0.2">
      <c r="A2475" s="4" t="str">
        <f>HYPERLINK("http://cdn.wpsstatic.com/images/full/eeff-572a54f1838d0.jpg", "http://cdn.wpsstatic.com/images/full/eeff-572a54f1838d0.jpg")</f>
        <v>http://cdn.wpsstatic.com/images/full/eeff-572a54f1838d0.jpg</v>
      </c>
      <c r="B2475" s="5" t="s">
        <v>2475</v>
      </c>
    </row>
    <row r="2476" spans="1:2" x14ac:dyDescent="0.2">
      <c r="A2476" s="4" t="str">
        <f>HYPERLINK("http://cdn.wpsstatic.com/images/full/ef10-572a529a26167.jpg", "http://cdn.wpsstatic.com/images/full/ef10-572a529a26167.jpg")</f>
        <v>http://cdn.wpsstatic.com/images/full/ef10-572a529a26167.jpg</v>
      </c>
      <c r="B2476" s="5" t="s">
        <v>2476</v>
      </c>
    </row>
    <row r="2477" spans="1:2" x14ac:dyDescent="0.2">
      <c r="A2477" s="4" t="str">
        <f>HYPERLINK("http://cdn.wpsstatic.com/images/full/ef16-572a53df4f679.jpg", "http://cdn.wpsstatic.com/images/full/ef16-572a53df4f679.jpg")</f>
        <v>http://cdn.wpsstatic.com/images/full/ef16-572a53df4f679.jpg</v>
      </c>
      <c r="B2477" s="5" t="s">
        <v>2477</v>
      </c>
    </row>
    <row r="2478" spans="1:2" x14ac:dyDescent="0.2">
      <c r="A2478" s="4" t="str">
        <f>HYPERLINK("http://cdn.wpsstatic.com/images/full/ef23-572a53d4df357.jpg", "http://cdn.wpsstatic.com/images/full/ef23-572a53d4df357.jpg")</f>
        <v>http://cdn.wpsstatic.com/images/full/ef23-572a53d4df357.jpg</v>
      </c>
      <c r="B2478" s="5" t="s">
        <v>2478</v>
      </c>
    </row>
    <row r="2479" spans="1:2" x14ac:dyDescent="0.2">
      <c r="A2479" s="4" t="str">
        <f>HYPERLINK("http://cdn.wpsstatic.com/images/full/ef5d-5d0295100e553.jpg", "http://cdn.wpsstatic.com/images/full/ef5d-5d0295100e553.jpg")</f>
        <v>http://cdn.wpsstatic.com/images/full/ef5d-5d0295100e553.jpg</v>
      </c>
      <c r="B2479" s="5" t="s">
        <v>2479</v>
      </c>
    </row>
    <row r="2480" spans="1:2" x14ac:dyDescent="0.2">
      <c r="A2480" s="4" t="str">
        <f>HYPERLINK("http://cdn.wpsstatic.com/images/full/ef63-572a5451622db.jpg", "http://cdn.wpsstatic.com/images/full/ef63-572a5451622db.jpg")</f>
        <v>http://cdn.wpsstatic.com/images/full/ef63-572a5451622db.jpg</v>
      </c>
      <c r="B2480" s="5" t="s">
        <v>2480</v>
      </c>
    </row>
    <row r="2481" spans="1:2" x14ac:dyDescent="0.2">
      <c r="A2481" s="4" t="str">
        <f>HYPERLINK("http://cdn.wpsstatic.com/images/full/ef9e-572a53ddc3d1d.jpg", "http://cdn.wpsstatic.com/images/full/ef9e-572a53ddc3d1d.jpg")</f>
        <v>http://cdn.wpsstatic.com/images/full/ef9e-572a53ddc3d1d.jpg</v>
      </c>
      <c r="B2481" s="5" t="s">
        <v>2481</v>
      </c>
    </row>
    <row r="2482" spans="1:2" x14ac:dyDescent="0.2">
      <c r="A2482" s="4" t="str">
        <f>HYPERLINK("http://cdn.wpsstatic.com/images/full/efac-572a5394be910.jpg", "http://cdn.wpsstatic.com/images/full/efac-572a5394be910.jpg")</f>
        <v>http://cdn.wpsstatic.com/images/full/efac-572a5394be910.jpg</v>
      </c>
      <c r="B2482" s="5" t="s">
        <v>2482</v>
      </c>
    </row>
    <row r="2483" spans="1:2" x14ac:dyDescent="0.2">
      <c r="A2483" s="4" t="str">
        <f>HYPERLINK("http://cdn.wpsstatic.com/images/full/efca-572a525794483.jpg", "http://cdn.wpsstatic.com/images/full/efca-572a525794483.jpg")</f>
        <v>http://cdn.wpsstatic.com/images/full/efca-572a525794483.jpg</v>
      </c>
      <c r="B2483" s="5" t="s">
        <v>2483</v>
      </c>
    </row>
    <row r="2484" spans="1:2" x14ac:dyDescent="0.2">
      <c r="A2484" s="4" t="str">
        <f>HYPERLINK("http://cdn.wpsstatic.com/images/full/f00e-5d0295a4aa1ce.jpg", "http://cdn.wpsstatic.com/images/full/f00e-5d0295a4aa1ce.jpg")</f>
        <v>http://cdn.wpsstatic.com/images/full/f00e-5d0295a4aa1ce.jpg</v>
      </c>
      <c r="B2484" s="5" t="s">
        <v>2484</v>
      </c>
    </row>
    <row r="2485" spans="1:2" x14ac:dyDescent="0.2">
      <c r="A2485" s="4" t="str">
        <f>HYPERLINK("http://cdn.wpsstatic.com/images/full/f040-572a548351b9d.jpg", "http://cdn.wpsstatic.com/images/full/f040-572a548351b9d.jpg")</f>
        <v>http://cdn.wpsstatic.com/images/full/f040-572a548351b9d.jpg</v>
      </c>
      <c r="B2485" s="5" t="s">
        <v>2485</v>
      </c>
    </row>
    <row r="2486" spans="1:2" x14ac:dyDescent="0.2">
      <c r="A2486" s="4" t="str">
        <f>HYPERLINK("http://cdn.wpsstatic.com/images/full/f045-572a53ad50a90.jpg", "http://cdn.wpsstatic.com/images/full/f045-572a53ad50a90.jpg")</f>
        <v>http://cdn.wpsstatic.com/images/full/f045-572a53ad50a90.jpg</v>
      </c>
      <c r="B2486" s="5" t="s">
        <v>2486</v>
      </c>
    </row>
    <row r="2487" spans="1:2" x14ac:dyDescent="0.2">
      <c r="A2487" s="4" t="str">
        <f>HYPERLINK("http://cdn.wpsstatic.com/images/full/f05a-5f529f30168c8.jpg", "http://cdn.wpsstatic.com/images/full/f05a-5f529f30168c8.jpg")</f>
        <v>http://cdn.wpsstatic.com/images/full/f05a-5f529f30168c8.jpg</v>
      </c>
      <c r="B2487" s="5" t="s">
        <v>2487</v>
      </c>
    </row>
    <row r="2488" spans="1:2" x14ac:dyDescent="0.2">
      <c r="A2488" s="4" t="str">
        <f>HYPERLINK("http://cdn.wpsstatic.com/images/full/f066-5d16848645aac.jpg", "http://cdn.wpsstatic.com/images/full/f066-5d16848645aac.jpg")</f>
        <v>http://cdn.wpsstatic.com/images/full/f066-5d16848645aac.jpg</v>
      </c>
      <c r="B2488" s="5" t="s">
        <v>2488</v>
      </c>
    </row>
    <row r="2489" spans="1:2" x14ac:dyDescent="0.2">
      <c r="A2489" s="4" t="str">
        <f>HYPERLINK("http://cdn.wpsstatic.com/images/full/f095-5f32a39734c2c.jpg", "http://cdn.wpsstatic.com/images/full/f095-5f32a39734c2c.jpg")</f>
        <v>http://cdn.wpsstatic.com/images/full/f095-5f32a39734c2c.jpg</v>
      </c>
      <c r="B2489" s="5" t="s">
        <v>2489</v>
      </c>
    </row>
    <row r="2490" spans="1:2" x14ac:dyDescent="0.2">
      <c r="A2490" s="4" t="str">
        <f>HYPERLINK("http://cdn.wpsstatic.com/images/full/f098-5d029521e2999.jpg", "http://cdn.wpsstatic.com/images/full/f098-5d029521e2999.jpg")</f>
        <v>http://cdn.wpsstatic.com/images/full/f098-5d029521e2999.jpg</v>
      </c>
      <c r="B2490" s="5" t="s">
        <v>2490</v>
      </c>
    </row>
    <row r="2491" spans="1:2" x14ac:dyDescent="0.2">
      <c r="A2491" s="4" t="str">
        <f>HYPERLINK("http://cdn.wpsstatic.com/images/full/f0c4-572a53d9a00b7.jpg", "http://cdn.wpsstatic.com/images/full/f0c4-572a53d9a00b7.jpg")</f>
        <v>http://cdn.wpsstatic.com/images/full/f0c4-572a53d9a00b7.jpg</v>
      </c>
      <c r="B2491" s="5" t="s">
        <v>2491</v>
      </c>
    </row>
    <row r="2492" spans="1:2" x14ac:dyDescent="0.2">
      <c r="A2492" s="4" t="str">
        <f>HYPERLINK("http://cdn.wpsstatic.com/images/full/f0d5-5885c1fb7824a.jpg", "http://cdn.wpsstatic.com/images/full/f0d5-5885c1fb7824a.jpg")</f>
        <v>http://cdn.wpsstatic.com/images/full/f0d5-5885c1fb7824a.jpg</v>
      </c>
      <c r="B2492" s="5" t="s">
        <v>2492</v>
      </c>
    </row>
    <row r="2493" spans="1:2" x14ac:dyDescent="0.2">
      <c r="A2493" s="4" t="str">
        <f>HYPERLINK("http://cdn.wpsstatic.com/images/full/f104-5885c299542d4.jpg", "http://cdn.wpsstatic.com/images/full/f104-5885c299542d4.jpg")</f>
        <v>http://cdn.wpsstatic.com/images/full/f104-5885c299542d4.jpg</v>
      </c>
      <c r="B2493" s="5" t="s">
        <v>2493</v>
      </c>
    </row>
    <row r="2494" spans="1:2" x14ac:dyDescent="0.2">
      <c r="A2494" s="4" t="str">
        <f>HYPERLINK("http://cdn.wpsstatic.com/images/full/f117-609d91d347ec6.jpg", "http://cdn.wpsstatic.com/images/full/f117-609d91d347ec6.jpg")</f>
        <v>http://cdn.wpsstatic.com/images/full/f117-609d91d347ec6.jpg</v>
      </c>
      <c r="B2494" s="5" t="s">
        <v>2494</v>
      </c>
    </row>
    <row r="2495" spans="1:2" x14ac:dyDescent="0.2">
      <c r="A2495" s="4" t="str">
        <f>HYPERLINK("http://cdn.wpsstatic.com/images/full/f13f-572a541a8108e.jpg", "http://cdn.wpsstatic.com/images/full/f13f-572a541a8108e.jpg")</f>
        <v>http://cdn.wpsstatic.com/images/full/f13f-572a541a8108e.jpg</v>
      </c>
      <c r="B2495" s="5" t="s">
        <v>2495</v>
      </c>
    </row>
    <row r="2496" spans="1:2" x14ac:dyDescent="0.2">
      <c r="A2496" s="4" t="str">
        <f>HYPERLINK("http://cdn.wpsstatic.com/images/full/f149-572a52736e798.jpg", "http://cdn.wpsstatic.com/images/full/f149-572a52736e798.jpg")</f>
        <v>http://cdn.wpsstatic.com/images/full/f149-572a52736e798.jpg</v>
      </c>
      <c r="B2496" s="5" t="s">
        <v>2496</v>
      </c>
    </row>
    <row r="2497" spans="1:2" x14ac:dyDescent="0.2">
      <c r="A2497" s="4" t="str">
        <f>HYPERLINK("http://cdn.wpsstatic.com/images/full/f164-5885c222b34b3.jpg", "http://cdn.wpsstatic.com/images/full/f164-5885c222b34b3.jpg")</f>
        <v>http://cdn.wpsstatic.com/images/full/f164-5885c222b34b3.jpg</v>
      </c>
      <c r="B2497" s="5" t="s">
        <v>2497</v>
      </c>
    </row>
    <row r="2498" spans="1:2" x14ac:dyDescent="0.2">
      <c r="A2498" s="4" t="str">
        <f>HYPERLINK("http://cdn.wpsstatic.com/images/full/f172-572a5552df6b6.jpg", "http://cdn.wpsstatic.com/images/full/f172-572a5552df6b6.jpg")</f>
        <v>http://cdn.wpsstatic.com/images/full/f172-572a5552df6b6.jpg</v>
      </c>
      <c r="B2498" s="5" t="s">
        <v>2498</v>
      </c>
    </row>
    <row r="2499" spans="1:2" x14ac:dyDescent="0.2">
      <c r="A2499" s="4" t="str">
        <f>HYPERLINK("http://cdn.wpsstatic.com/images/full/f189-572a528182d4b.jpg", "http://cdn.wpsstatic.com/images/full/f189-572a528182d4b.jpg")</f>
        <v>http://cdn.wpsstatic.com/images/full/f189-572a528182d4b.jpg</v>
      </c>
      <c r="B2499" s="5" t="s">
        <v>2499</v>
      </c>
    </row>
    <row r="2500" spans="1:2" x14ac:dyDescent="0.2">
      <c r="A2500" s="4" t="str">
        <f>HYPERLINK("http://cdn.wpsstatic.com/images/full/f196-572a558cde8c6.jpg", "http://cdn.wpsstatic.com/images/full/f196-572a558cde8c6.jpg")</f>
        <v>http://cdn.wpsstatic.com/images/full/f196-572a558cde8c6.jpg</v>
      </c>
      <c r="B2500" s="5" t="s">
        <v>2500</v>
      </c>
    </row>
    <row r="2501" spans="1:2" x14ac:dyDescent="0.2">
      <c r="A2501" s="4" t="str">
        <f>HYPERLINK("http://cdn.wpsstatic.com/images/full/f1ba-5a26f03445b3d.jpg", "http://cdn.wpsstatic.com/images/full/f1ba-5a26f03445b3d.jpg")</f>
        <v>http://cdn.wpsstatic.com/images/full/f1ba-5a26f03445b3d.jpg</v>
      </c>
      <c r="B2501" s="5" t="s">
        <v>2501</v>
      </c>
    </row>
    <row r="2502" spans="1:2" x14ac:dyDescent="0.2">
      <c r="A2502" s="4" t="str">
        <f>HYPERLINK("http://cdn.wpsstatic.com/images/full/f1c1-572a550c46dbd.jpg", "http://cdn.wpsstatic.com/images/full/f1c1-572a550c46dbd.jpg")</f>
        <v>http://cdn.wpsstatic.com/images/full/f1c1-572a550c46dbd.jpg</v>
      </c>
      <c r="B2502" s="5" t="s">
        <v>2502</v>
      </c>
    </row>
    <row r="2503" spans="1:2" x14ac:dyDescent="0.2">
      <c r="A2503" s="4" t="str">
        <f>HYPERLINK("http://cdn.wpsstatic.com/images/full/f1c8-572a532b996e9.jpg", "http://cdn.wpsstatic.com/images/full/f1c8-572a532b996e9.jpg")</f>
        <v>http://cdn.wpsstatic.com/images/full/f1c8-572a532b996e9.jpg</v>
      </c>
      <c r="B2503" s="5" t="s">
        <v>2503</v>
      </c>
    </row>
    <row r="2504" spans="1:2" x14ac:dyDescent="0.2">
      <c r="A2504" s="4" t="str">
        <f>HYPERLINK("http://cdn.wpsstatic.com/images/full/f1ca-572a53f86ef5c.jpg", "http://cdn.wpsstatic.com/images/full/f1ca-572a53f86ef5c.jpg")</f>
        <v>http://cdn.wpsstatic.com/images/full/f1ca-572a53f86ef5c.jpg</v>
      </c>
      <c r="B2504" s="5" t="s">
        <v>2504</v>
      </c>
    </row>
    <row r="2505" spans="1:2" x14ac:dyDescent="0.2">
      <c r="A2505" s="4" t="str">
        <f>HYPERLINK("http://cdn.wpsstatic.com/images/full/f1ff-5e023abc407d0.jpg", "http://cdn.wpsstatic.com/images/full/f1ff-5e023abc407d0.jpg")</f>
        <v>http://cdn.wpsstatic.com/images/full/f1ff-5e023abc407d0.jpg</v>
      </c>
      <c r="B2505" s="5" t="s">
        <v>2505</v>
      </c>
    </row>
    <row r="2506" spans="1:2" x14ac:dyDescent="0.2">
      <c r="A2506" s="4" t="str">
        <f>HYPERLINK("http://cdn.wpsstatic.com/images/full/f21c-572a5420a416d.jpg", "http://cdn.wpsstatic.com/images/full/f21c-572a5420a416d.jpg")</f>
        <v>http://cdn.wpsstatic.com/images/full/f21c-572a5420a416d.jpg</v>
      </c>
      <c r="B2506" s="5" t="s">
        <v>2506</v>
      </c>
    </row>
    <row r="2507" spans="1:2" x14ac:dyDescent="0.2">
      <c r="A2507" s="4" t="str">
        <f>HYPERLINK("http://cdn.wpsstatic.com/images/full/f231-572a536043c1b.jpg", "http://cdn.wpsstatic.com/images/full/f231-572a536043c1b.jpg")</f>
        <v>http://cdn.wpsstatic.com/images/full/f231-572a536043c1b.jpg</v>
      </c>
      <c r="B2507" s="5" t="s">
        <v>2507</v>
      </c>
    </row>
    <row r="2508" spans="1:2" x14ac:dyDescent="0.2">
      <c r="A2508" s="4" t="str">
        <f>HYPERLINK("http://cdn.wpsstatic.com/images/full/f23a-572a54cfe993f.jpg", "http://cdn.wpsstatic.com/images/full/f23a-572a54cfe993f.jpg")</f>
        <v>http://cdn.wpsstatic.com/images/full/f23a-572a54cfe993f.jpg</v>
      </c>
      <c r="B2508" s="5" t="s">
        <v>2508</v>
      </c>
    </row>
    <row r="2509" spans="1:2" x14ac:dyDescent="0.2">
      <c r="A2509" s="4" t="str">
        <f>HYPERLINK("http://cdn.wpsstatic.com/images/full/f254-5d029077c7603.jpg", "http://cdn.wpsstatic.com/images/full/f254-5d029077c7603.jpg")</f>
        <v>http://cdn.wpsstatic.com/images/full/f254-5d029077c7603.jpg</v>
      </c>
      <c r="B2509" s="5" t="s">
        <v>2509</v>
      </c>
    </row>
    <row r="2510" spans="1:2" x14ac:dyDescent="0.2">
      <c r="A2510" s="4" t="str">
        <f>HYPERLINK("http://cdn.wpsstatic.com/images/full/f255-5ecd3c398faa9.jpg", "http://cdn.wpsstatic.com/images/full/f255-5ecd3c398faa9.jpg")</f>
        <v>http://cdn.wpsstatic.com/images/full/f255-5ecd3c398faa9.jpg</v>
      </c>
      <c r="B2510" s="5" t="s">
        <v>2510</v>
      </c>
    </row>
    <row r="2511" spans="1:2" x14ac:dyDescent="0.2">
      <c r="A2511" s="4" t="str">
        <f>HYPERLINK("http://cdn.wpsstatic.com/images/full/f27b-572a546360dd2.jpg", "http://cdn.wpsstatic.com/images/full/f27b-572a546360dd2.jpg")</f>
        <v>http://cdn.wpsstatic.com/images/full/f27b-572a546360dd2.jpg</v>
      </c>
      <c r="B2511" s="5" t="s">
        <v>2511</v>
      </c>
    </row>
    <row r="2512" spans="1:2" x14ac:dyDescent="0.2">
      <c r="A2512" s="4" t="str">
        <f>HYPERLINK("http://cdn.wpsstatic.com/images/full/f2a6-572a539d560b7.jpg", "http://cdn.wpsstatic.com/images/full/f2a6-572a539d560b7.jpg")</f>
        <v>http://cdn.wpsstatic.com/images/full/f2a6-572a539d560b7.jpg</v>
      </c>
      <c r="B2512" s="5" t="s">
        <v>2512</v>
      </c>
    </row>
    <row r="2513" spans="1:2" x14ac:dyDescent="0.2">
      <c r="A2513" s="4" t="str">
        <f>HYPERLINK("http://cdn.wpsstatic.com/images/full/f2e5-572a52fa0acc3.jpg", "http://cdn.wpsstatic.com/images/full/f2e5-572a52fa0acc3.jpg")</f>
        <v>http://cdn.wpsstatic.com/images/full/f2e5-572a52fa0acc3.jpg</v>
      </c>
      <c r="B2513" s="5" t="s">
        <v>2513</v>
      </c>
    </row>
    <row r="2514" spans="1:2" x14ac:dyDescent="0.2">
      <c r="A2514" s="4" t="str">
        <f>HYPERLINK("http://cdn.wpsstatic.com/images/full/f347-572a52ac17f8c.jpg", "http://cdn.wpsstatic.com/images/full/f347-572a52ac17f8c.jpg")</f>
        <v>http://cdn.wpsstatic.com/images/full/f347-572a52ac17f8c.jpg</v>
      </c>
      <c r="B2514" s="5" t="s">
        <v>2514</v>
      </c>
    </row>
    <row r="2515" spans="1:2" x14ac:dyDescent="0.2">
      <c r="A2515" s="4" t="str">
        <f>HYPERLINK("http://cdn.wpsstatic.com/images/full/f394-572a53c68ccef.jpg", "http://cdn.wpsstatic.com/images/full/f394-572a53c68ccef.jpg")</f>
        <v>http://cdn.wpsstatic.com/images/full/f394-572a53c68ccef.jpg</v>
      </c>
      <c r="B2515" s="5" t="s">
        <v>2515</v>
      </c>
    </row>
    <row r="2516" spans="1:2" x14ac:dyDescent="0.2">
      <c r="A2516" s="4" t="str">
        <f>HYPERLINK("http://cdn.wpsstatic.com/images/full/f3b4-572a53ea762b3.jpg", "http://cdn.wpsstatic.com/images/full/f3b4-572a53ea762b3.jpg")</f>
        <v>http://cdn.wpsstatic.com/images/full/f3b4-572a53ea762b3.jpg</v>
      </c>
      <c r="B2516" s="5" t="s">
        <v>2516</v>
      </c>
    </row>
    <row r="2517" spans="1:2" x14ac:dyDescent="0.2">
      <c r="A2517" s="4" t="str">
        <f>HYPERLINK("http://cdn.wpsstatic.com/images/full/f3b8-572a5365b67ba.jpg", "http://cdn.wpsstatic.com/images/full/f3b8-572a5365b67ba.jpg")</f>
        <v>http://cdn.wpsstatic.com/images/full/f3b8-572a5365b67ba.jpg</v>
      </c>
      <c r="B2517" s="5" t="s">
        <v>2517</v>
      </c>
    </row>
    <row r="2518" spans="1:2" x14ac:dyDescent="0.2">
      <c r="A2518" s="4" t="str">
        <f>HYPERLINK("http://cdn.wpsstatic.com/images/full/f3c0-5885c16c73020.jpg", "http://cdn.wpsstatic.com/images/full/f3c0-5885c16c73020.jpg")</f>
        <v>http://cdn.wpsstatic.com/images/full/f3c0-5885c16c73020.jpg</v>
      </c>
      <c r="B2518" s="5" t="s">
        <v>2518</v>
      </c>
    </row>
    <row r="2519" spans="1:2" x14ac:dyDescent="0.2">
      <c r="A2519" s="4" t="str">
        <f>HYPERLINK("http://cdn.wpsstatic.com/images/full/f3e2-572a5391a3431.jpg", "http://cdn.wpsstatic.com/images/full/f3e2-572a5391a3431.jpg")</f>
        <v>http://cdn.wpsstatic.com/images/full/f3e2-572a5391a3431.jpg</v>
      </c>
      <c r="B2519" s="5" t="s">
        <v>2519</v>
      </c>
    </row>
    <row r="2520" spans="1:2" x14ac:dyDescent="0.2">
      <c r="A2520" s="4" t="str">
        <f>HYPERLINK("http://cdn.wpsstatic.com/images/full/f437-572a54dcc7b20.jpg", "http://cdn.wpsstatic.com/images/full/f437-572a54dcc7b20.jpg")</f>
        <v>http://cdn.wpsstatic.com/images/full/f437-572a54dcc7b20.jpg</v>
      </c>
      <c r="B2520" s="5" t="s">
        <v>2520</v>
      </c>
    </row>
    <row r="2521" spans="1:2" x14ac:dyDescent="0.2">
      <c r="A2521" s="4" t="str">
        <f>HYPERLINK("http://cdn.wpsstatic.com/images/full/f43e-5a26f0f80f8a5.jpg", "http://cdn.wpsstatic.com/images/full/f43e-5a26f0f80f8a5.jpg")</f>
        <v>http://cdn.wpsstatic.com/images/full/f43e-5a26f0f80f8a5.jpg</v>
      </c>
      <c r="B2521" s="5" t="s">
        <v>2521</v>
      </c>
    </row>
    <row r="2522" spans="1:2" x14ac:dyDescent="0.2">
      <c r="A2522" s="4" t="str">
        <f>HYPERLINK("http://cdn.wpsstatic.com/images/full/f466-63643b28e4335.png", "http://cdn.wpsstatic.com/images/full/f466-63643b28e4335.png")</f>
        <v>http://cdn.wpsstatic.com/images/full/f466-63643b28e4335.png</v>
      </c>
      <c r="B2522" s="5" t="s">
        <v>2522</v>
      </c>
    </row>
    <row r="2523" spans="1:2" x14ac:dyDescent="0.2">
      <c r="A2523" s="4" t="str">
        <f>HYPERLINK("http://cdn.wpsstatic.com/images/full/f470-5d790080a2c91.jpg", "http://cdn.wpsstatic.com/images/full/f470-5d790080a2c91.jpg")</f>
        <v>http://cdn.wpsstatic.com/images/full/f470-5d790080a2c91.jpg</v>
      </c>
      <c r="B2523" s="5" t="s">
        <v>2523</v>
      </c>
    </row>
    <row r="2524" spans="1:2" x14ac:dyDescent="0.2">
      <c r="A2524" s="4" t="str">
        <f>HYPERLINK("http://cdn.wpsstatic.com/images/full/f472-572a53e150c77.jpg", "http://cdn.wpsstatic.com/images/full/f472-572a53e150c77.jpg")</f>
        <v>http://cdn.wpsstatic.com/images/full/f472-572a53e150c77.jpg</v>
      </c>
      <c r="B2524" s="5" t="s">
        <v>2524</v>
      </c>
    </row>
    <row r="2525" spans="1:2" x14ac:dyDescent="0.2">
      <c r="A2525" s="4" t="str">
        <f>HYPERLINK("http://cdn.wpsstatic.com/images/full/f48d-5d7905a7064b8.jpg", "http://cdn.wpsstatic.com/images/full/f48d-5d7905a7064b8.jpg")</f>
        <v>http://cdn.wpsstatic.com/images/full/f48d-5d7905a7064b8.jpg</v>
      </c>
      <c r="B2525" s="5" t="s">
        <v>2525</v>
      </c>
    </row>
    <row r="2526" spans="1:2" x14ac:dyDescent="0.2">
      <c r="A2526" s="4" t="str">
        <f>HYPERLINK("http://cdn.wpsstatic.com/images/full/f494-572a533be37c0.jpg", "http://cdn.wpsstatic.com/images/full/f494-572a533be37c0.jpg")</f>
        <v>http://cdn.wpsstatic.com/images/full/f494-572a533be37c0.jpg</v>
      </c>
      <c r="B2526" s="5" t="s">
        <v>2526</v>
      </c>
    </row>
    <row r="2527" spans="1:2" x14ac:dyDescent="0.2">
      <c r="A2527" s="4" t="str">
        <f>HYPERLINK("http://cdn.wpsstatic.com/images/full/f4d5-572a5459b96c0.jpg", "http://cdn.wpsstatic.com/images/full/f4d5-572a5459b96c0.jpg")</f>
        <v>http://cdn.wpsstatic.com/images/full/f4d5-572a5459b96c0.jpg</v>
      </c>
      <c r="B2527" s="5" t="s">
        <v>2527</v>
      </c>
    </row>
    <row r="2528" spans="1:2" x14ac:dyDescent="0.2">
      <c r="A2528" s="4" t="str">
        <f>HYPERLINK("http://cdn.wpsstatic.com/images/full/f4f7-572a54f9dae13.jpg", "http://cdn.wpsstatic.com/images/full/f4f7-572a54f9dae13.jpg")</f>
        <v>http://cdn.wpsstatic.com/images/full/f4f7-572a54f9dae13.jpg</v>
      </c>
      <c r="B2528" s="5" t="s">
        <v>2528</v>
      </c>
    </row>
    <row r="2529" spans="1:2" x14ac:dyDescent="0.2">
      <c r="A2529" s="4" t="str">
        <f>HYPERLINK("http://cdn.wpsstatic.com/images/full/f503-6040f88b3b505.jpg", "http://cdn.wpsstatic.com/images/full/f503-6040f88b3b505.jpg")</f>
        <v>http://cdn.wpsstatic.com/images/full/f503-6040f88b3b505.jpg</v>
      </c>
      <c r="B2529" s="5" t="s">
        <v>2529</v>
      </c>
    </row>
    <row r="2530" spans="1:2" x14ac:dyDescent="0.2">
      <c r="A2530" s="4" t="str">
        <f>HYPERLINK("http://cdn.wpsstatic.com/images/full/f544-572a54a258382.jpg", "http://cdn.wpsstatic.com/images/full/f544-572a54a258382.jpg")</f>
        <v>http://cdn.wpsstatic.com/images/full/f544-572a54a258382.jpg</v>
      </c>
      <c r="B2530" s="5" t="s">
        <v>2530</v>
      </c>
    </row>
    <row r="2531" spans="1:2" x14ac:dyDescent="0.2">
      <c r="A2531" s="4" t="str">
        <f>HYPERLINK("http://cdn.wpsstatic.com/images/full/f554-5d029e28ca121.jpg", "http://cdn.wpsstatic.com/images/full/f554-5d029e28ca121.jpg")</f>
        <v>http://cdn.wpsstatic.com/images/full/f554-5d029e28ca121.jpg</v>
      </c>
      <c r="B2531" s="5" t="s">
        <v>2531</v>
      </c>
    </row>
    <row r="2532" spans="1:2" x14ac:dyDescent="0.2">
      <c r="A2532" s="4" t="str">
        <f>HYPERLINK("http://cdn.wpsstatic.com/images/full/f58e-572a53ba23b77.jpg", "http://cdn.wpsstatic.com/images/full/f58e-572a53ba23b77.jpg")</f>
        <v>http://cdn.wpsstatic.com/images/full/f58e-572a53ba23b77.jpg</v>
      </c>
      <c r="B2532" s="5" t="s">
        <v>2532</v>
      </c>
    </row>
    <row r="2533" spans="1:2" x14ac:dyDescent="0.2">
      <c r="A2533" s="4" t="str">
        <f>HYPERLINK("http://cdn.wpsstatic.com/images/full/f5e3-572a54ca1e37f.jpg", "http://cdn.wpsstatic.com/images/full/f5e3-572a54ca1e37f.jpg")</f>
        <v>http://cdn.wpsstatic.com/images/full/f5e3-572a54ca1e37f.jpg</v>
      </c>
      <c r="B2533" s="5" t="s">
        <v>2533</v>
      </c>
    </row>
    <row r="2534" spans="1:2" x14ac:dyDescent="0.2">
      <c r="A2534" s="4" t="str">
        <f>HYPERLINK("http://cdn.wpsstatic.com/images/full/f64a-572a54a4d970f.jpg", "http://cdn.wpsstatic.com/images/full/f64a-572a54a4d970f.jpg")</f>
        <v>http://cdn.wpsstatic.com/images/full/f64a-572a54a4d970f.jpg</v>
      </c>
      <c r="B2534" s="5" t="s">
        <v>2534</v>
      </c>
    </row>
    <row r="2535" spans="1:2" x14ac:dyDescent="0.2">
      <c r="A2535" s="4" t="str">
        <f>HYPERLINK("http://cdn.wpsstatic.com/images/full/f66f-572a533a68851.jpg", "http://cdn.wpsstatic.com/images/full/f66f-572a533a68851.jpg")</f>
        <v>http://cdn.wpsstatic.com/images/full/f66f-572a533a68851.jpg</v>
      </c>
      <c r="B2535" s="5" t="s">
        <v>2535</v>
      </c>
    </row>
    <row r="2536" spans="1:2" x14ac:dyDescent="0.2">
      <c r="A2536" s="4" t="str">
        <f>HYPERLINK("http://cdn.wpsstatic.com/images/full/f678-572a54e515c01.jpg", "http://cdn.wpsstatic.com/images/full/f678-572a54e515c01.jpg")</f>
        <v>http://cdn.wpsstatic.com/images/full/f678-572a54e515c01.jpg</v>
      </c>
      <c r="B2536" s="5" t="s">
        <v>2536</v>
      </c>
    </row>
    <row r="2537" spans="1:2" x14ac:dyDescent="0.2">
      <c r="A2537" s="4" t="str">
        <f>HYPERLINK("http://cdn.wpsstatic.com/images/full/f680-572a54f21bd7c.jpg", "http://cdn.wpsstatic.com/images/full/f680-572a54f21bd7c.jpg")</f>
        <v>http://cdn.wpsstatic.com/images/full/f680-572a54f21bd7c.jpg</v>
      </c>
      <c r="B2537" s="5" t="s">
        <v>2537</v>
      </c>
    </row>
    <row r="2538" spans="1:2" x14ac:dyDescent="0.2">
      <c r="A2538" s="4" t="str">
        <f>HYPERLINK("http://cdn.wpsstatic.com/images/full/f6c6-572a5406d8aa8.jpg", "http://cdn.wpsstatic.com/images/full/f6c6-572a5406d8aa8.jpg")</f>
        <v>http://cdn.wpsstatic.com/images/full/f6c6-572a5406d8aa8.jpg</v>
      </c>
      <c r="B2538" s="5" t="s">
        <v>2538</v>
      </c>
    </row>
    <row r="2539" spans="1:2" x14ac:dyDescent="0.2">
      <c r="A2539" s="4" t="str">
        <f>HYPERLINK("http://cdn.wpsstatic.com/images/full/f6dc-572a541b1fad3.jpg", "http://cdn.wpsstatic.com/images/full/f6dc-572a541b1fad3.jpg")</f>
        <v>http://cdn.wpsstatic.com/images/full/f6dc-572a541b1fad3.jpg</v>
      </c>
      <c r="B2539" s="5" t="s">
        <v>2539</v>
      </c>
    </row>
    <row r="2540" spans="1:2" x14ac:dyDescent="0.2">
      <c r="A2540" s="4" t="str">
        <f>HYPERLINK("http://cdn.wpsstatic.com/images/full/f722-572a52c7ef8e5.jpg", "http://cdn.wpsstatic.com/images/full/f722-572a52c7ef8e5.jpg")</f>
        <v>http://cdn.wpsstatic.com/images/full/f722-572a52c7ef8e5.jpg</v>
      </c>
      <c r="B2540" s="5" t="s">
        <v>2540</v>
      </c>
    </row>
    <row r="2541" spans="1:2" x14ac:dyDescent="0.2">
      <c r="A2541" s="4" t="str">
        <f>HYPERLINK("http://cdn.wpsstatic.com/images/full/f722-572a54aca0982.jpg", "http://cdn.wpsstatic.com/images/full/f722-572a54aca0982.jpg")</f>
        <v>http://cdn.wpsstatic.com/images/full/f722-572a54aca0982.jpg</v>
      </c>
      <c r="B2541" s="5" t="s">
        <v>2541</v>
      </c>
    </row>
    <row r="2542" spans="1:2" x14ac:dyDescent="0.2">
      <c r="A2542" s="4" t="str">
        <f>HYPERLINK("http://cdn.wpsstatic.com/images/full/f72b-572a5366b0c67.jpg", "http://cdn.wpsstatic.com/images/full/f72b-572a5366b0c67.jpg")</f>
        <v>http://cdn.wpsstatic.com/images/full/f72b-572a5366b0c67.jpg</v>
      </c>
      <c r="B2542" s="5" t="s">
        <v>2542</v>
      </c>
    </row>
    <row r="2543" spans="1:2" x14ac:dyDescent="0.2">
      <c r="A2543" s="4" t="str">
        <f>HYPERLINK("http://cdn.wpsstatic.com/images/full/f737-572a5352618e2.jpg", "http://cdn.wpsstatic.com/images/full/f737-572a5352618e2.jpg")</f>
        <v>http://cdn.wpsstatic.com/images/full/f737-572a5352618e2.jpg</v>
      </c>
      <c r="B2543" s="5" t="s">
        <v>2543</v>
      </c>
    </row>
    <row r="2544" spans="1:2" x14ac:dyDescent="0.2">
      <c r="A2544" s="4" t="str">
        <f>HYPERLINK("http://cdn.wpsstatic.com/images/full/f74b-572a54262e084.jpg", "http://cdn.wpsstatic.com/images/full/f74b-572a54262e084.jpg")</f>
        <v>http://cdn.wpsstatic.com/images/full/f74b-572a54262e084.jpg</v>
      </c>
      <c r="B2544" s="5" t="s">
        <v>2544</v>
      </c>
    </row>
    <row r="2545" spans="1:2" x14ac:dyDescent="0.2">
      <c r="A2545" s="4" t="str">
        <f>HYPERLINK("http://cdn.wpsstatic.com/images/full/f78c-5d1684e00d9fa.jpg", "http://cdn.wpsstatic.com/images/full/f78c-5d1684e00d9fa.jpg")</f>
        <v>http://cdn.wpsstatic.com/images/full/f78c-5d1684e00d9fa.jpg</v>
      </c>
      <c r="B2545" s="5" t="s">
        <v>2545</v>
      </c>
    </row>
    <row r="2546" spans="1:2" x14ac:dyDescent="0.2">
      <c r="A2546" s="4" t="str">
        <f>HYPERLINK("http://cdn.wpsstatic.com/images/full/f790-572a562454df7.jpg", "http://cdn.wpsstatic.com/images/full/f790-572a562454df7.jpg")</f>
        <v>http://cdn.wpsstatic.com/images/full/f790-572a562454df7.jpg</v>
      </c>
      <c r="B2546" s="5" t="s">
        <v>2546</v>
      </c>
    </row>
    <row r="2547" spans="1:2" x14ac:dyDescent="0.2">
      <c r="A2547" s="4" t="str">
        <f>HYPERLINK("http://cdn.wpsstatic.com/images/full/f796-572a539211228.jpg", "http://cdn.wpsstatic.com/images/full/f796-572a539211228.jpg")</f>
        <v>http://cdn.wpsstatic.com/images/full/f796-572a539211228.jpg</v>
      </c>
      <c r="B2547" s="5" t="s">
        <v>2547</v>
      </c>
    </row>
    <row r="2548" spans="1:2" x14ac:dyDescent="0.2">
      <c r="A2548" s="4" t="str">
        <f>HYPERLINK("http://cdn.wpsstatic.com/images/full/f7a3-572a52a3dfd0f.jpg", "http://cdn.wpsstatic.com/images/full/f7a3-572a52a3dfd0f.jpg")</f>
        <v>http://cdn.wpsstatic.com/images/full/f7a3-572a52a3dfd0f.jpg</v>
      </c>
      <c r="B2548" s="5" t="s">
        <v>2548</v>
      </c>
    </row>
    <row r="2549" spans="1:2" x14ac:dyDescent="0.2">
      <c r="A2549" s="4" t="str">
        <f>HYPERLINK("http://cdn.wpsstatic.com/images/full/f7a4-572a53c1321cf.jpg", "http://cdn.wpsstatic.com/images/full/f7a4-572a53c1321cf.jpg")</f>
        <v>http://cdn.wpsstatic.com/images/full/f7a4-572a53c1321cf.jpg</v>
      </c>
      <c r="B2549" s="5" t="s">
        <v>2549</v>
      </c>
    </row>
    <row r="2550" spans="1:2" x14ac:dyDescent="0.2">
      <c r="A2550" s="4" t="str">
        <f>HYPERLINK("http://cdn.wpsstatic.com/images/full/f7c6-60a6a996855d1.png", "http://cdn.wpsstatic.com/images/full/f7c6-60a6a996855d1.png")</f>
        <v>http://cdn.wpsstatic.com/images/full/f7c6-60a6a996855d1.png</v>
      </c>
      <c r="B2550" s="5" t="s">
        <v>2550</v>
      </c>
    </row>
    <row r="2551" spans="1:2" x14ac:dyDescent="0.2">
      <c r="A2551" s="4" t="str">
        <f>HYPERLINK("http://cdn.wpsstatic.com/images/full/f7ca-572a562fa1046.jpg", "http://cdn.wpsstatic.com/images/full/f7ca-572a562fa1046.jpg")</f>
        <v>http://cdn.wpsstatic.com/images/full/f7ca-572a562fa1046.jpg</v>
      </c>
      <c r="B2551" s="5" t="s">
        <v>2551</v>
      </c>
    </row>
    <row r="2552" spans="1:2" x14ac:dyDescent="0.2">
      <c r="A2552" s="4" t="str">
        <f>HYPERLINK("http://cdn.wpsstatic.com/images/full/f801-572a5537b7d49.jpg", "http://cdn.wpsstatic.com/images/full/f801-572a5537b7d49.jpg")</f>
        <v>http://cdn.wpsstatic.com/images/full/f801-572a5537b7d49.jpg</v>
      </c>
      <c r="B2552" s="5" t="s">
        <v>2552</v>
      </c>
    </row>
    <row r="2553" spans="1:2" x14ac:dyDescent="0.2">
      <c r="A2553" s="4" t="str">
        <f>HYPERLINK("http://cdn.wpsstatic.com/images/full/f853-572a53d87681d.jpg", "http://cdn.wpsstatic.com/images/full/f853-572a53d87681d.jpg")</f>
        <v>http://cdn.wpsstatic.com/images/full/f853-572a53d87681d.jpg</v>
      </c>
      <c r="B2553" s="5" t="s">
        <v>2553</v>
      </c>
    </row>
    <row r="2554" spans="1:2" x14ac:dyDescent="0.2">
      <c r="A2554" s="4" t="str">
        <f>HYPERLINK("http://cdn.wpsstatic.com/images/full/f85d-572a536d3e977.jpg", "http://cdn.wpsstatic.com/images/full/f85d-572a536d3e977.jpg")</f>
        <v>http://cdn.wpsstatic.com/images/full/f85d-572a536d3e977.jpg</v>
      </c>
      <c r="B2554" s="5" t="s">
        <v>2554</v>
      </c>
    </row>
    <row r="2555" spans="1:2" x14ac:dyDescent="0.2">
      <c r="A2555" s="4" t="str">
        <f>HYPERLINK("http://cdn.wpsstatic.com/images/full/f892-5d02916307542.jpg", "http://cdn.wpsstatic.com/images/full/f892-5d02916307542.jpg")</f>
        <v>http://cdn.wpsstatic.com/images/full/f892-5d02916307542.jpg</v>
      </c>
      <c r="B2555" s="5" t="s">
        <v>2555</v>
      </c>
    </row>
    <row r="2556" spans="1:2" x14ac:dyDescent="0.2">
      <c r="A2556" s="4" t="str">
        <f>HYPERLINK("http://cdn.wpsstatic.com/images/full/f896-572a540b65d2e.jpg", "http://cdn.wpsstatic.com/images/full/f896-572a540b65d2e.jpg")</f>
        <v>http://cdn.wpsstatic.com/images/full/f896-572a540b65d2e.jpg</v>
      </c>
      <c r="B2556" s="5" t="s">
        <v>2556</v>
      </c>
    </row>
    <row r="2557" spans="1:2" x14ac:dyDescent="0.2">
      <c r="A2557" s="4" t="str">
        <f>HYPERLINK("http://cdn.wpsstatic.com/images/full/f8b0-63643b2869ff7.png", "http://cdn.wpsstatic.com/images/full/f8b0-63643b2869ff7.png")</f>
        <v>http://cdn.wpsstatic.com/images/full/f8b0-63643b2869ff7.png</v>
      </c>
      <c r="B2557" s="5" t="s">
        <v>2557</v>
      </c>
    </row>
    <row r="2558" spans="1:2" x14ac:dyDescent="0.2">
      <c r="A2558" s="4" t="str">
        <f>HYPERLINK("http://cdn.wpsstatic.com/images/full/f8d8-572a53db4c521.jpg", "http://cdn.wpsstatic.com/images/full/f8d8-572a53db4c521.jpg")</f>
        <v>http://cdn.wpsstatic.com/images/full/f8d8-572a53db4c521.jpg</v>
      </c>
      <c r="B2558" s="5" t="s">
        <v>2558</v>
      </c>
    </row>
    <row r="2559" spans="1:2" x14ac:dyDescent="0.2">
      <c r="A2559" s="4" t="str">
        <f>HYPERLINK("http://cdn.wpsstatic.com/images/full/f915-572a553e416ac.jpg", "http://cdn.wpsstatic.com/images/full/f915-572a553e416ac.jpg")</f>
        <v>http://cdn.wpsstatic.com/images/full/f915-572a553e416ac.jpg</v>
      </c>
      <c r="B2559" s="5" t="s">
        <v>2559</v>
      </c>
    </row>
    <row r="2560" spans="1:2" x14ac:dyDescent="0.2">
      <c r="A2560" s="4" t="str">
        <f>HYPERLINK("http://cdn.wpsstatic.com/images/full/f936-5d028c3bb2edd.jpg", "http://cdn.wpsstatic.com/images/full/f936-5d028c3bb2edd.jpg")</f>
        <v>http://cdn.wpsstatic.com/images/full/f936-5d028c3bb2edd.jpg</v>
      </c>
      <c r="B2560" s="5" t="s">
        <v>2560</v>
      </c>
    </row>
    <row r="2561" spans="1:2" x14ac:dyDescent="0.2">
      <c r="A2561" s="4" t="str">
        <f>HYPERLINK("http://cdn.wpsstatic.com/images/full/f947-572a558ddb8f4.jpg", "http://cdn.wpsstatic.com/images/full/f947-572a558ddb8f4.jpg")</f>
        <v>http://cdn.wpsstatic.com/images/full/f947-572a558ddb8f4.jpg</v>
      </c>
      <c r="B2561" s="5" t="s">
        <v>2561</v>
      </c>
    </row>
    <row r="2562" spans="1:2" x14ac:dyDescent="0.2">
      <c r="A2562" s="4" t="str">
        <f>HYPERLINK("http://cdn.wpsstatic.com/images/full/f958-5f52996f98760.jpg", "http://cdn.wpsstatic.com/images/full/f958-5f52996f98760.jpg")</f>
        <v>http://cdn.wpsstatic.com/images/full/f958-5f52996f98760.jpg</v>
      </c>
      <c r="B2562" s="5" t="s">
        <v>2562</v>
      </c>
    </row>
    <row r="2563" spans="1:2" x14ac:dyDescent="0.2">
      <c r="A2563" s="4" t="str">
        <f>HYPERLINK("http://cdn.wpsstatic.com/images/full/f970-5a26f016d511a.jpg", "http://cdn.wpsstatic.com/images/full/f970-5a26f016d511a.jpg")</f>
        <v>http://cdn.wpsstatic.com/images/full/f970-5a26f016d511a.jpg</v>
      </c>
      <c r="B2563" s="5" t="s">
        <v>2563</v>
      </c>
    </row>
    <row r="2564" spans="1:2" x14ac:dyDescent="0.2">
      <c r="A2564" s="4" t="str">
        <f>HYPERLINK("http://cdn.wpsstatic.com/images/full/f978-572a525fd8019.jpg", "http://cdn.wpsstatic.com/images/full/f978-572a525fd8019.jpg")</f>
        <v>http://cdn.wpsstatic.com/images/full/f978-572a525fd8019.jpg</v>
      </c>
      <c r="B2564" s="5" t="s">
        <v>2564</v>
      </c>
    </row>
    <row r="2565" spans="1:2" x14ac:dyDescent="0.2">
      <c r="A2565" s="4" t="str">
        <f>HYPERLINK("http://cdn.wpsstatic.com/images/full/f984-572a530c88247.jpg", "http://cdn.wpsstatic.com/images/full/f984-572a530c88247.jpg")</f>
        <v>http://cdn.wpsstatic.com/images/full/f984-572a530c88247.jpg</v>
      </c>
      <c r="B2565" s="5" t="s">
        <v>2565</v>
      </c>
    </row>
    <row r="2566" spans="1:2" x14ac:dyDescent="0.2">
      <c r="A2566" s="4" t="str">
        <f>HYPERLINK("http://cdn.wpsstatic.com/images/full/f990-61144f1be07d2.jpeg", "http://cdn.wpsstatic.com/images/full/f990-61144f1be07d2.jpeg")</f>
        <v>http://cdn.wpsstatic.com/images/full/f990-61144f1be07d2.jpeg</v>
      </c>
      <c r="B2566" s="5" t="s">
        <v>2566</v>
      </c>
    </row>
    <row r="2567" spans="1:2" x14ac:dyDescent="0.2">
      <c r="A2567" s="4" t="str">
        <f>HYPERLINK("http://cdn.wpsstatic.com/images/full/f9c6-572a541decb7f.jpg", "http://cdn.wpsstatic.com/images/full/f9c6-572a541decb7f.jpg")</f>
        <v>http://cdn.wpsstatic.com/images/full/f9c6-572a541decb7f.jpg</v>
      </c>
      <c r="B2567" s="5" t="s">
        <v>2567</v>
      </c>
    </row>
    <row r="2568" spans="1:2" x14ac:dyDescent="0.2">
      <c r="A2568" s="4" t="str">
        <f>HYPERLINK("http://cdn.wpsstatic.com/images/full/f9cb-6171d7cae7fbb.png", "http://cdn.wpsstatic.com/images/full/f9cb-6171d7cae7fbb.png")</f>
        <v>http://cdn.wpsstatic.com/images/full/f9cb-6171d7cae7fbb.png</v>
      </c>
      <c r="B2568" s="5" t="s">
        <v>2568</v>
      </c>
    </row>
    <row r="2569" spans="1:2" x14ac:dyDescent="0.2">
      <c r="A2569" s="4" t="str">
        <f>HYPERLINK("http://cdn.wpsstatic.com/images/full/f9cd-5d1684c044cc2.jpg", "http://cdn.wpsstatic.com/images/full/f9cd-5d1684c044cc2.jpg")</f>
        <v>http://cdn.wpsstatic.com/images/full/f9cd-5d1684c044cc2.jpg</v>
      </c>
      <c r="B2569" s="5" t="s">
        <v>2569</v>
      </c>
    </row>
    <row r="2570" spans="1:2" x14ac:dyDescent="0.2">
      <c r="A2570" s="4" t="str">
        <f>HYPERLINK("http://cdn.wpsstatic.com/images/full/f9fc-572a53752ff4e.jpg", "http://cdn.wpsstatic.com/images/full/f9fc-572a53752ff4e.jpg")</f>
        <v>http://cdn.wpsstatic.com/images/full/f9fc-572a53752ff4e.jpg</v>
      </c>
      <c r="B2570" s="5" t="s">
        <v>2570</v>
      </c>
    </row>
    <row r="2571" spans="1:2" x14ac:dyDescent="0.2">
      <c r="A2571" s="4" t="str">
        <f>HYPERLINK("http://cdn.wpsstatic.com/images/full/fa08-572a53ace94a4.jpg", "http://cdn.wpsstatic.com/images/full/fa08-572a53ace94a4.jpg")</f>
        <v>http://cdn.wpsstatic.com/images/full/fa08-572a53ace94a4.jpg</v>
      </c>
      <c r="B2571" s="5" t="s">
        <v>2571</v>
      </c>
    </row>
    <row r="2572" spans="1:2" x14ac:dyDescent="0.2">
      <c r="A2572" s="4" t="str">
        <f>HYPERLINK("http://cdn.wpsstatic.com/images/full/fa08-572a53b9a9a7c.jpg", "http://cdn.wpsstatic.com/images/full/fa08-572a53b9a9a7c.jpg")</f>
        <v>http://cdn.wpsstatic.com/images/full/fa08-572a53b9a9a7c.jpg</v>
      </c>
      <c r="B2572" s="5" t="s">
        <v>2572</v>
      </c>
    </row>
    <row r="2573" spans="1:2" x14ac:dyDescent="0.2">
      <c r="A2573" s="4" t="str">
        <f>HYPERLINK("http://cdn.wpsstatic.com/images/full/fa19-5885c24fbaea2.jpg", "http://cdn.wpsstatic.com/images/full/fa19-5885c24fbaea2.jpg")</f>
        <v>http://cdn.wpsstatic.com/images/full/fa19-5885c24fbaea2.jpg</v>
      </c>
      <c r="B2573" s="5" t="s">
        <v>2573</v>
      </c>
    </row>
    <row r="2574" spans="1:2" x14ac:dyDescent="0.2">
      <c r="A2574" s="4" t="str">
        <f>HYPERLINK("http://cdn.wpsstatic.com/images/full/fa49-572a54f29cd67.jpg", "http://cdn.wpsstatic.com/images/full/fa49-572a54f29cd67.jpg")</f>
        <v>http://cdn.wpsstatic.com/images/full/fa49-572a54f29cd67.jpg</v>
      </c>
      <c r="B2574" s="5" t="s">
        <v>2574</v>
      </c>
    </row>
    <row r="2575" spans="1:2" x14ac:dyDescent="0.2">
      <c r="A2575" s="4" t="str">
        <f>HYPERLINK("http://cdn.wpsstatic.com/images/full/fab4-572a544e697c4.jpg", "http://cdn.wpsstatic.com/images/full/fab4-572a544e697c4.jpg")</f>
        <v>http://cdn.wpsstatic.com/images/full/fab4-572a544e697c4.jpg</v>
      </c>
      <c r="B2575" s="5" t="s">
        <v>2575</v>
      </c>
    </row>
    <row r="2576" spans="1:2" x14ac:dyDescent="0.2">
      <c r="A2576" s="4" t="str">
        <f>HYPERLINK("http://cdn.wpsstatic.com/images/full/fabb-5d7900679c063.jpg", "http://cdn.wpsstatic.com/images/full/fabb-5d7900679c063.jpg")</f>
        <v>http://cdn.wpsstatic.com/images/full/fabb-5d7900679c063.jpg</v>
      </c>
      <c r="B2576" s="5" t="s">
        <v>2576</v>
      </c>
    </row>
    <row r="2577" spans="1:2" x14ac:dyDescent="0.2">
      <c r="A2577" s="4" t="str">
        <f>HYPERLINK("http://cdn.wpsstatic.com/images/full/fabe-572a546915255.jpg", "http://cdn.wpsstatic.com/images/full/fabe-572a546915255.jpg")</f>
        <v>http://cdn.wpsstatic.com/images/full/fabe-572a546915255.jpg</v>
      </c>
      <c r="B2577" s="5" t="s">
        <v>2577</v>
      </c>
    </row>
    <row r="2578" spans="1:2" x14ac:dyDescent="0.2">
      <c r="A2578" s="4" t="str">
        <f>HYPERLINK("http://cdn.wpsstatic.com/images/full/fada-5d0292efb94a2.jpg", "http://cdn.wpsstatic.com/images/full/fada-5d0292efb94a2.jpg")</f>
        <v>http://cdn.wpsstatic.com/images/full/fada-5d0292efb94a2.jpg</v>
      </c>
      <c r="B2578" s="5" t="s">
        <v>2578</v>
      </c>
    </row>
    <row r="2579" spans="1:2" x14ac:dyDescent="0.2">
      <c r="A2579" s="4" t="str">
        <f>HYPERLINK("http://cdn.wpsstatic.com/images/full/faf3-572a52bba1db9.jpg", "http://cdn.wpsstatic.com/images/full/faf3-572a52bba1db9.jpg")</f>
        <v>http://cdn.wpsstatic.com/images/full/faf3-572a52bba1db9.jpg</v>
      </c>
      <c r="B2579" s="5" t="s">
        <v>2579</v>
      </c>
    </row>
    <row r="2580" spans="1:2" x14ac:dyDescent="0.2">
      <c r="A2580" s="4" t="str">
        <f>HYPERLINK("http://cdn.wpsstatic.com/images/full/fb92-5885c1e8b452d.jpg", "http://cdn.wpsstatic.com/images/full/fb92-5885c1e8b452d.jpg")</f>
        <v>http://cdn.wpsstatic.com/images/full/fb92-5885c1e8b452d.jpg</v>
      </c>
      <c r="B2580" s="5" t="s">
        <v>2580</v>
      </c>
    </row>
    <row r="2581" spans="1:2" x14ac:dyDescent="0.2">
      <c r="A2581" s="4" t="str">
        <f>HYPERLINK("http://cdn.wpsstatic.com/images/full/fba4-5cca09c4a3e75.jpg", "http://cdn.wpsstatic.com/images/full/fba4-5cca09c4a3e75.jpg")</f>
        <v>http://cdn.wpsstatic.com/images/full/fba4-5cca09c4a3e75.jpg</v>
      </c>
      <c r="B2581" s="5" t="s">
        <v>2581</v>
      </c>
    </row>
    <row r="2582" spans="1:2" x14ac:dyDescent="0.2">
      <c r="A2582" s="4" t="str">
        <f>HYPERLINK("http://cdn.wpsstatic.com/images/full/fbb5-5885c2418b3c3.jpg", "http://cdn.wpsstatic.com/images/full/fbb5-5885c2418b3c3.jpg")</f>
        <v>http://cdn.wpsstatic.com/images/full/fbb5-5885c2418b3c3.jpg</v>
      </c>
      <c r="B2582" s="5" t="s">
        <v>2582</v>
      </c>
    </row>
    <row r="2583" spans="1:2" x14ac:dyDescent="0.2">
      <c r="A2583" s="4" t="str">
        <f>HYPERLINK("http://cdn.wpsstatic.com/images/full/fbc1-572a541cd2e0c.jpg", "http://cdn.wpsstatic.com/images/full/fbc1-572a541cd2e0c.jpg")</f>
        <v>http://cdn.wpsstatic.com/images/full/fbc1-572a541cd2e0c.jpg</v>
      </c>
      <c r="B2583" s="5" t="s">
        <v>2583</v>
      </c>
    </row>
    <row r="2584" spans="1:2" x14ac:dyDescent="0.2">
      <c r="A2584" s="4" t="str">
        <f>HYPERLINK("http://cdn.wpsstatic.com/images/full/fc12-615f778b61869.jpeg", "http://cdn.wpsstatic.com/images/full/fc12-615f778b61869.jpeg")</f>
        <v>http://cdn.wpsstatic.com/images/full/fc12-615f778b61869.jpeg</v>
      </c>
      <c r="B2584" s="5" t="s">
        <v>2584</v>
      </c>
    </row>
    <row r="2585" spans="1:2" x14ac:dyDescent="0.2">
      <c r="A2585" s="4" t="str">
        <f>HYPERLINK("http://cdn.wpsstatic.com/images/full/fc62-572a53886dd30.jpg", "http://cdn.wpsstatic.com/images/full/fc62-572a53886dd30.jpg")</f>
        <v>http://cdn.wpsstatic.com/images/full/fc62-572a53886dd30.jpg</v>
      </c>
      <c r="B2585" s="5" t="s">
        <v>2585</v>
      </c>
    </row>
    <row r="2586" spans="1:2" x14ac:dyDescent="0.2">
      <c r="A2586" s="4" t="str">
        <f>HYPERLINK("http://cdn.wpsstatic.com/images/full/fc7d-5d029f9fbec02.jpg", "http://cdn.wpsstatic.com/images/full/fc7d-5d029f9fbec02.jpg")</f>
        <v>http://cdn.wpsstatic.com/images/full/fc7d-5d029f9fbec02.jpg</v>
      </c>
      <c r="B2586" s="5" t="s">
        <v>2586</v>
      </c>
    </row>
    <row r="2587" spans="1:2" x14ac:dyDescent="0.2">
      <c r="A2587" s="4" t="str">
        <f>HYPERLINK("http://cdn.wpsstatic.com/images/full/fcd5-572a54530c554.jpg", "http://cdn.wpsstatic.com/images/full/fcd5-572a54530c554.jpg")</f>
        <v>http://cdn.wpsstatic.com/images/full/fcd5-572a54530c554.jpg</v>
      </c>
      <c r="B2587" s="5" t="s">
        <v>2587</v>
      </c>
    </row>
    <row r="2588" spans="1:2" x14ac:dyDescent="0.2">
      <c r="A2588" s="4" t="str">
        <f>HYPERLINK("http://cdn.wpsstatic.com/images/full/fcfc-572a54b02834e.jpg", "http://cdn.wpsstatic.com/images/full/fcfc-572a54b02834e.jpg")</f>
        <v>http://cdn.wpsstatic.com/images/full/fcfc-572a54b02834e.jpg</v>
      </c>
      <c r="B2588" s="5" t="s">
        <v>2588</v>
      </c>
    </row>
    <row r="2589" spans="1:2" x14ac:dyDescent="0.2">
      <c r="A2589" s="4" t="str">
        <f>HYPERLINK("http://cdn.wpsstatic.com/images/full/fcfd-572a525a45080.jpg", "http://cdn.wpsstatic.com/images/full/fcfd-572a525a45080.jpg")</f>
        <v>http://cdn.wpsstatic.com/images/full/fcfd-572a525a45080.jpg</v>
      </c>
      <c r="B2589" s="5" t="s">
        <v>2589</v>
      </c>
    </row>
    <row r="2590" spans="1:2" x14ac:dyDescent="0.2">
      <c r="A2590" s="4" t="str">
        <f>HYPERLINK("http://cdn.wpsstatic.com/images/full/fd00-572a5283b020d.jpg", "http://cdn.wpsstatic.com/images/full/fd00-572a5283b020d.jpg")</f>
        <v>http://cdn.wpsstatic.com/images/full/fd00-572a5283b020d.jpg</v>
      </c>
      <c r="B2590" s="5" t="s">
        <v>2590</v>
      </c>
    </row>
    <row r="2591" spans="1:2" x14ac:dyDescent="0.2">
      <c r="A2591" s="4" t="str">
        <f>HYPERLINK("http://cdn.wpsstatic.com/images/full/fd29-572a53c9bc3d6.jpg", "http://cdn.wpsstatic.com/images/full/fd29-572a53c9bc3d6.jpg")</f>
        <v>http://cdn.wpsstatic.com/images/full/fd29-572a53c9bc3d6.jpg</v>
      </c>
      <c r="B2591" s="5" t="s">
        <v>2591</v>
      </c>
    </row>
    <row r="2592" spans="1:2" x14ac:dyDescent="0.2">
      <c r="A2592" s="4" t="str">
        <f>HYPERLINK("http://cdn.wpsstatic.com/images/full/fd2c-572a55965af51.jpg", "http://cdn.wpsstatic.com/images/full/fd2c-572a55965af51.jpg")</f>
        <v>http://cdn.wpsstatic.com/images/full/fd2c-572a55965af51.jpg</v>
      </c>
      <c r="B2592" s="5" t="s">
        <v>2592</v>
      </c>
    </row>
    <row r="2593" spans="1:2" x14ac:dyDescent="0.2">
      <c r="A2593" s="4" t="str">
        <f>HYPERLINK("http://cdn.wpsstatic.com/images/full/fd3f-572a535b783a4.jpg", "http://cdn.wpsstatic.com/images/full/fd3f-572a535b783a4.jpg")</f>
        <v>http://cdn.wpsstatic.com/images/full/fd3f-572a535b783a4.jpg</v>
      </c>
      <c r="B2593" s="5" t="s">
        <v>2593</v>
      </c>
    </row>
    <row r="2594" spans="1:2" x14ac:dyDescent="0.2">
      <c r="A2594" s="4" t="str">
        <f>HYPERLINK("http://cdn.wpsstatic.com/images/full/fdda-572a556b7dcb0.jpg", "http://cdn.wpsstatic.com/images/full/fdda-572a556b7dcb0.jpg")</f>
        <v>http://cdn.wpsstatic.com/images/full/fdda-572a556b7dcb0.jpg</v>
      </c>
      <c r="B2594" s="5" t="s">
        <v>2594</v>
      </c>
    </row>
    <row r="2595" spans="1:2" x14ac:dyDescent="0.2">
      <c r="A2595" s="4" t="str">
        <f>HYPERLINK("http://cdn.wpsstatic.com/images/full/fdf7-572a52b190e42.jpg", "http://cdn.wpsstatic.com/images/full/fdf7-572a52b190e42.jpg")</f>
        <v>http://cdn.wpsstatic.com/images/full/fdf7-572a52b190e42.jpg</v>
      </c>
      <c r="B2595" s="5" t="s">
        <v>2595</v>
      </c>
    </row>
    <row r="2596" spans="1:2" x14ac:dyDescent="0.2">
      <c r="A2596" s="4" t="str">
        <f>HYPERLINK("http://cdn.wpsstatic.com/images/full/fe33-572a53ee193c2.jpg", "http://cdn.wpsstatic.com/images/full/fe33-572a53ee193c2.jpg")</f>
        <v>http://cdn.wpsstatic.com/images/full/fe33-572a53ee193c2.jpg</v>
      </c>
      <c r="B2596" s="5" t="s">
        <v>2596</v>
      </c>
    </row>
    <row r="2597" spans="1:2" x14ac:dyDescent="0.2">
      <c r="A2597" s="4" t="str">
        <f>HYPERLINK("http://cdn.wpsstatic.com/images/full/fe39-572a5528c02ae.jpg", "http://cdn.wpsstatic.com/images/full/fe39-572a5528c02ae.jpg")</f>
        <v>http://cdn.wpsstatic.com/images/full/fe39-572a5528c02ae.jpg</v>
      </c>
      <c r="B2597" s="5" t="s">
        <v>2597</v>
      </c>
    </row>
    <row r="2598" spans="1:2" x14ac:dyDescent="0.2">
      <c r="A2598" s="4" t="str">
        <f>HYPERLINK("http://cdn.wpsstatic.com/images/full/fe3a-5fb44811bacae.jpg", "http://cdn.wpsstatic.com/images/full/fe3a-5fb44811bacae.jpg")</f>
        <v>http://cdn.wpsstatic.com/images/full/fe3a-5fb44811bacae.jpg</v>
      </c>
      <c r="B2598" s="5" t="s">
        <v>2598</v>
      </c>
    </row>
    <row r="2599" spans="1:2" x14ac:dyDescent="0.2">
      <c r="A2599" s="4" t="str">
        <f>HYPERLINK("http://cdn.wpsstatic.com/images/full/fe4b-572a5361993ad.jpg", "http://cdn.wpsstatic.com/images/full/fe4b-572a5361993ad.jpg")</f>
        <v>http://cdn.wpsstatic.com/images/full/fe4b-572a5361993ad.jpg</v>
      </c>
      <c r="B2599" s="5" t="s">
        <v>2599</v>
      </c>
    </row>
    <row r="2600" spans="1:2" x14ac:dyDescent="0.2">
      <c r="A2600" s="4" t="str">
        <f>HYPERLINK("http://cdn.wpsstatic.com/images/full/fe60-572a5384dfcb2.jpg", "http://cdn.wpsstatic.com/images/full/fe60-572a5384dfcb2.jpg")</f>
        <v>http://cdn.wpsstatic.com/images/full/fe60-572a5384dfcb2.jpg</v>
      </c>
      <c r="B2600" s="5" t="s">
        <v>2600</v>
      </c>
    </row>
    <row r="2601" spans="1:2" x14ac:dyDescent="0.2">
      <c r="A2601" s="4" t="str">
        <f>HYPERLINK("http://cdn.wpsstatic.com/images/full/fe69-572a5342b3714.jpg", "http://cdn.wpsstatic.com/images/full/fe69-572a5342b3714.jpg")</f>
        <v>http://cdn.wpsstatic.com/images/full/fe69-572a5342b3714.jpg</v>
      </c>
      <c r="B2601" s="5" t="s">
        <v>2601</v>
      </c>
    </row>
    <row r="2602" spans="1:2" x14ac:dyDescent="0.2">
      <c r="A2602" s="4" t="str">
        <f>HYPERLINK("http://cdn.wpsstatic.com/images/full/fe79-572a552a6bb59.jpg", "http://cdn.wpsstatic.com/images/full/fe79-572a552a6bb59.jpg")</f>
        <v>http://cdn.wpsstatic.com/images/full/fe79-572a552a6bb59.jpg</v>
      </c>
      <c r="B2602" s="5" t="s">
        <v>2602</v>
      </c>
    </row>
    <row r="2603" spans="1:2" x14ac:dyDescent="0.2">
      <c r="A2603" s="4" t="str">
        <f>HYPERLINK("http://cdn.wpsstatic.com/images/full/fe8f-572a555969748.jpg", "http://cdn.wpsstatic.com/images/full/fe8f-572a555969748.jpg")</f>
        <v>http://cdn.wpsstatic.com/images/full/fe8f-572a555969748.jpg</v>
      </c>
      <c r="B2603" s="5" t="s">
        <v>2603</v>
      </c>
    </row>
    <row r="2604" spans="1:2" x14ac:dyDescent="0.2">
      <c r="A2604" s="4" t="str">
        <f>HYPERLINK("http://cdn.wpsstatic.com/images/full/fe9c-572a5454d911f.jpg", "http://cdn.wpsstatic.com/images/full/fe9c-572a5454d911f.jpg")</f>
        <v>http://cdn.wpsstatic.com/images/full/fe9c-572a5454d911f.jpg</v>
      </c>
      <c r="B2604" s="5" t="s">
        <v>2604</v>
      </c>
    </row>
    <row r="2605" spans="1:2" x14ac:dyDescent="0.2">
      <c r="A2605" s="4" t="str">
        <f>HYPERLINK("http://cdn.wpsstatic.com/images/full/fea0-572a53634582d.jpg", "http://cdn.wpsstatic.com/images/full/fea0-572a53634582d.jpg")</f>
        <v>http://cdn.wpsstatic.com/images/full/fea0-572a53634582d.jpg</v>
      </c>
      <c r="B2605" s="5" t="s">
        <v>2605</v>
      </c>
    </row>
    <row r="2606" spans="1:2" x14ac:dyDescent="0.2">
      <c r="A2606" s="4" t="str">
        <f>HYPERLINK("http://cdn.wpsstatic.com/images/full/fed0-572a5337e5a4d.jpg", "http://cdn.wpsstatic.com/images/full/fed0-572a5337e5a4d.jpg")</f>
        <v>http://cdn.wpsstatic.com/images/full/fed0-572a5337e5a4d.jpg</v>
      </c>
      <c r="B2606" s="5" t="s">
        <v>2606</v>
      </c>
    </row>
    <row r="2607" spans="1:2" x14ac:dyDescent="0.2">
      <c r="A2607" s="4" t="str">
        <f>HYPERLINK("http://cdn.wpsstatic.com/images/full/fef5-572a5281074b5.jpg", "http://cdn.wpsstatic.com/images/full/fef5-572a5281074b5.jpg")</f>
        <v>http://cdn.wpsstatic.com/images/full/fef5-572a5281074b5.jpg</v>
      </c>
      <c r="B2607" s="5" t="s">
        <v>2607</v>
      </c>
    </row>
    <row r="2608" spans="1:2" x14ac:dyDescent="0.2">
      <c r="A2608" s="4" t="str">
        <f>HYPERLINK("http://cdn.wpsstatic.com/images/full/ff01-5d029a1cc5bf3.jpg", "http://cdn.wpsstatic.com/images/full/ff01-5d029a1cc5bf3.jpg")</f>
        <v>http://cdn.wpsstatic.com/images/full/ff01-5d029a1cc5bf3.jpg</v>
      </c>
      <c r="B2608" s="5" t="s">
        <v>2608</v>
      </c>
    </row>
    <row r="2609" spans="1:2" x14ac:dyDescent="0.2">
      <c r="A2609" s="4" t="str">
        <f>HYPERLINK("http://cdn.wpsstatic.com/images/full/ff22-5885c228b57e5.jpg", "http://cdn.wpsstatic.com/images/full/ff22-5885c228b57e5.jpg")</f>
        <v>http://cdn.wpsstatic.com/images/full/ff22-5885c228b57e5.jpg</v>
      </c>
      <c r="B2609" s="5" t="s">
        <v>2609</v>
      </c>
    </row>
    <row r="2610" spans="1:2" x14ac:dyDescent="0.2">
      <c r="A2610" s="4" t="str">
        <f>HYPERLINK("http://cdn.wpsstatic.com/images/full/ff38-572a52545de39.jpg", "http://cdn.wpsstatic.com/images/full/ff38-572a52545de39.jpg")</f>
        <v>http://cdn.wpsstatic.com/images/full/ff38-572a52545de39.jpg</v>
      </c>
      <c r="B2610" s="5" t="s">
        <v>2610</v>
      </c>
    </row>
    <row r="2611" spans="1:2" x14ac:dyDescent="0.2">
      <c r="A2611" s="4" t="str">
        <f>HYPERLINK("http://cdn.wpsstatic.com/images/full/ff72-572a55b08d4a6.jpg", "http://cdn.wpsstatic.com/images/full/ff72-572a55b08d4a6.jpg")</f>
        <v>http://cdn.wpsstatic.com/images/full/ff72-572a55b08d4a6.jpg</v>
      </c>
      <c r="B2611" s="5" t="s">
        <v>2611</v>
      </c>
    </row>
    <row r="2612" spans="1:2" x14ac:dyDescent="0.2">
      <c r="A2612" s="4" t="str">
        <f>HYPERLINK("http://cdn.wpsstatic.com/images/full/ffa4-5885c1d49f66c.jpg", "http://cdn.wpsstatic.com/images/full/ffa4-5885c1d49f66c.jpg")</f>
        <v>http://cdn.wpsstatic.com/images/full/ffa4-5885c1d49f66c.jpg</v>
      </c>
      <c r="B2612" s="5" t="s">
        <v>2612</v>
      </c>
    </row>
    <row r="2613" spans="1:2" x14ac:dyDescent="0.2">
      <c r="A2613" s="4" t="str">
        <f>HYPERLINK("http://cdn.wpsstatic.com/images/full/ffc0-572a52ba0c1fb.jpg", "http://cdn.wpsstatic.com/images/full/ffc0-572a52ba0c1fb.jpg")</f>
        <v>http://cdn.wpsstatic.com/images/full/ffc0-572a52ba0c1fb.jpg</v>
      </c>
      <c r="B2613" s="5" t="s">
        <v>2613</v>
      </c>
    </row>
    <row r="2614" spans="1:2" x14ac:dyDescent="0.2">
      <c r="A2614" s="4" t="str">
        <f>HYPERLINK("http://cdn.wpsstatic.com/images/full/ffcb-572a54c078cdb.jpg", "http://cdn.wpsstatic.com/images/full/ffcb-572a54c078cdb.jpg")</f>
        <v>http://cdn.wpsstatic.com/images/full/ffcb-572a54c078cdb.jpg</v>
      </c>
      <c r="B2614" s="5" t="s">
        <v>2614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NpStar</dc:creator>
  <cp:lastModifiedBy>병혁 김</cp:lastModifiedBy>
  <dcterms:created xsi:type="dcterms:W3CDTF">2013-02-14T15:28:07Z</dcterms:created>
  <dcterms:modified xsi:type="dcterms:W3CDTF">2024-05-28T08:13:35Z</dcterms:modified>
</cp:coreProperties>
</file>